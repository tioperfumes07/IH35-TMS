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IE-OUT" sheetId="2" state="visible" r:id="rId4"/>
    <sheet name="BY LOAD" sheetId="3" state="visible" r:id="rId5"/>
    <sheet name="FUEL LINES" sheetId="4" state="visible" r:id="rId6"/>
    <sheet name="PAY LINES" sheetId="5" state="visible" r:id="rId7"/>
    <sheet name="LEG MILES" sheetId="6" state="visible" r:id="rId8"/>
  </sheets>
  <definedNames>
    <definedName function="false" hidden="true" localSheetId="2" name="_xlnm._FilterDatabase" vbProcedure="false">'BY LOAD'!$A$4:$AF$85</definedName>
    <definedName function="false" hidden="true" localSheetId="3" name="_xlnm._FilterDatabase" vbProcedure="false">'FUEL LINES'!$A$4:$P$184</definedName>
    <definedName function="false" hidden="true" localSheetId="5" name="_xlnm._FilterDatabase" vbProcedure="false">'LEG MILES'!$A$4:$L$233</definedName>
    <definedName function="false" hidden="true" localSheetId="4" name="_xlnm._FilterDatabase" vbProcedure="false">'PAY LINES'!$A$4:$I$190</definedName>
    <definedName function="false" hidden="true" localSheetId="1" name="_xlnm._FilterDatabase" vbProcedure="false">'TIE-OUT'!$A$4:$AB$41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Source: the CUSTOMER CHARGES Line Haul rows on each signed Company Settlement. Excludes the "Total Line Haul" summary row.</t>
        </r>
      </text>
    </comment>
    <comment ref="Y5" authorId="0">
      <text>
        <r>
          <rPr>
            <sz val="10"/>
            <rFont val="Arial"/>
            <family val="2"/>
          </rPr>
          <t xml:space="preserve">Source: the printed TOTAL DUE on each signed Driver Settlement. Salary + Additional Pay + Reimbursed + Deductions must equal it.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PC*MILER PRACTICAL, from the Miles column on the CUSTOMER CHARGES Line Haul row of the Company Settlement. This is what the customer was billed.</t>
        </r>
      </text>
    </comment>
    <comment ref="K5" authorId="0">
      <text>
        <r>
          <rPr>
            <sz val="10"/>
            <rFont val="Arial"/>
            <family val="2"/>
          </rPr>
          <t xml:space="preserve">What OUR engine computed from the same addresses. Do not type the PC*MILER figure here.</t>
        </r>
      </text>
    </comment>
    <comment ref="N5" authorId="0">
      <text>
        <r>
          <rPr>
            <sz val="10"/>
            <rFont val="Arial"/>
            <family val="2"/>
          </rPr>
          <t xml:space="preserve">PC*MILER SHORTEST, from the Loaded Miles line on the Driver Settlement. This is what the driver was paid on. Multi-drop loads sum their delivery legs.</t>
        </r>
      </text>
    </comment>
    <comment ref="R5" authorId="0">
      <text>
        <r>
          <rPr>
            <sz val="10"/>
            <rFont val="Arial"/>
            <family val="2"/>
          </rPr>
          <t xml:space="preserve">PC*MILER empty = deadhead to the pickup PLUS the run home. Blank where the truck started loaded at the yard.</t>
        </r>
      </text>
    </comment>
    <comment ref="Y5" authorId="0">
      <text>
        <r>
          <rPr>
            <sz val="10"/>
            <rFont val="Arial"/>
            <family val="2"/>
          </rPr>
          <t xml:space="preserve">Computed: our engine shortest miles x the settlement rate. Shows what the driver WOULD have been paid on our numbers.</t>
        </r>
      </text>
    </comment>
  </commentList>
</comments>
</file>

<file path=xl/sharedStrings.xml><?xml version="1.0" encoding="utf-8"?>
<sst xmlns="http://schemas.openxmlformats.org/spreadsheetml/2006/main" count="4796" uniqueCount="886">
  <si>
    <t xml:space="preserve">IH35-TMS · MILEAGE ENGINE ACCURACY — OUR ENGINE vs PC*MILER</t>
  </si>
  <si>
    <t xml:space="preserve">WHAT THIS IS</t>
  </si>
  <si>
    <t xml:space="preserve">The 37 signed AlwaysTrack settlements were routed by PC*MILER. This workbook holds every mile PC*MILER produced,</t>
  </si>
  <si>
    <t xml:space="preserve">so that once the same loads are entered in our app we can measure OUR engine against it, load by load and leg by leg.</t>
  </si>
  <si>
    <t xml:space="preserve">THE TEST, AND THE ONE WAY TO GET IT WRONG</t>
  </si>
  <si>
    <t xml:space="preserve">Enter the ADDRESSES in the app and let our engine route them. Paste WHAT OUR ENGINE COMPUTED into the yellow columns.</t>
  </si>
  <si>
    <t xml:space="preserve">If anyone types the settlement figure into a yellow cell the sheet will read perfect and prove nothing.</t>
  </si>
  <si>
    <t xml:space="preserve">HOW TO USE IT</t>
  </si>
  <si>
    <t xml:space="preserve">1. The coders create 31 settlements through the real UI. The owner hand-enters six: 5766, 5772, 5776, 5780, 5783, 5784.</t>
  </si>
  <si>
    <t xml:space="preserve">2. Enter addresses only. Never type a mileage that came off the settlement.</t>
  </si>
  <si>
    <t xml:space="preserve">3. Export what our engine computed and paste it into the YELLOW columns.</t>
  </si>
  <si>
    <t xml:space="preserve">4. Diff mi and Diff % compute themselves. The TOTAL row gives the engine's overall error against PC*MILER.</t>
  </si>
  <si>
    <t xml:space="preserve">THE SHEETS</t>
  </si>
  <si>
    <t xml:space="preserve">BY LOAD       81 loads. PRACTICAL, SHORTEST and EMPTY miles — PC*MILER against our engine, with the dollar effect on driver pay.</t>
  </si>
  <si>
    <t xml:space="preserve">LEG MILES     229 legs. Every stop with the distance PC*MILER charged to reach it, classified loaded or empty.</t>
  </si>
  <si>
    <t xml:space="preserve">TIE-OUT       37 settlements. The money side: line haul, diesel, salary, additional pay, reimbursed, deductions, TOTAL DUE.</t>
  </si>
  <si>
    <t xml:space="preserve">FUEL LINES    180 individual diesel purchases.</t>
  </si>
  <si>
    <t xml:space="preserve">PAY LINES     186 additional-pay, reimbursed and deduction lines.</t>
  </si>
  <si>
    <t xml:space="preserve">WHAT THE PC*MILER NUMBERS ALREADY TELL US</t>
  </si>
  <si>
    <t xml:space="preserve">TWO ROUTE SOLUTIONS, NOT ONE. The customer is billed on PRACTICAL, the driver is paid on SHORTEST. Across 76 loads the</t>
  </si>
  <si>
    <t xml:space="preserve">ratio runs 0.7790 to 1.0748, median 1.0279, and FIVE loads have practical SHORTER than shortest. There is no factor</t>
  </si>
  <si>
    <t xml:space="preserve">between them and none may be applied. Our engine has to produce both, from two route calls.</t>
  </si>
  <si>
    <t xml:space="preserve">EMPTY MILES ARE PAID ON BOTH ENDS. 5,139.3 mi ran to the load and 5,524.2 RAN HOME — 51.8% of all deadhead, on 17 of</t>
  </si>
  <si>
    <t xml:space="preserve">81 loads. Our chain-deadhead service measures only the first and uses a STRAIGHT LINE (haversine) to do it, while the</t>
  </si>
  <si>
    <t xml:space="preserve">loaded leg comes from the router. Expect EMPTY to come up short and to be measured on the wrong ruler.</t>
  </si>
  <si>
    <t xml:space="preserve">THE DOLLARS RIDE ON IT. Loaded pay on our engine = our shortest miles x the settlement rate. A 1% engine error across</t>
  </si>
  <si>
    <t xml:space="preserve">102,426.8 loaded miles at $0.43-$0.50 is roughly $470 of driver pay. The Diff $ columns show it per load.</t>
  </si>
  <si>
    <t xml:space="preserve">COLOURS</t>
  </si>
  <si>
    <t xml:space="preserve">GREY  = PC*MILER, off the signed settlement. Never edit.</t>
  </si>
  <si>
    <t xml:space="preserve">YELLOW = what our engine computed. This is what you fill in.</t>
  </si>
  <si>
    <t xml:space="preserve">White = computed. Red means a difference.</t>
  </si>
  <si>
    <t xml:space="preserve">SOURCE</t>
  </si>
  <si>
    <t xml:space="preserve">Company_Settlement_5753 and 5760-5795 and the matching Driver_Settlement files, extracted with pdftotext -layout.</t>
  </si>
  <si>
    <t xml:space="preserve">Every settlement foots to its own printed FUEL PURCHASES total and its own printed TOTAL DUE.</t>
  </si>
  <si>
    <t xml:space="preserve">Entity: USMCA on all 37, per the owner's ruling that IH35 Transportation is not operating.</t>
  </si>
  <si>
    <t xml:space="preserve">One date corrected by owner ruling 2026-09-04: settlement 5789 / load 13557 / invoice 99462408 prints 2026-09-29;</t>
  </si>
  <si>
    <t xml:space="preserve">loaded as 2026-08-29 — outside its own settlement period and off the truck's route as printed. No dollar changes.</t>
  </si>
  <si>
    <t xml:space="preserve">TIE-OUT — 37 SETTLEMENTS</t>
  </si>
  <si>
    <t xml:space="preserve">Grey = the signed document, never edit. Yellow = paste what the system created. Diff and MATCH compute themselves.</t>
  </si>
  <si>
    <t xml:space="preserve">Settl</t>
  </si>
  <si>
    <t xml:space="preserve">Entered by</t>
  </si>
  <si>
    <t xml:space="preserve">Driver</t>
  </si>
  <si>
    <t xml:space="preserve">Unit</t>
  </si>
  <si>
    <t xml:space="preserve">Loads</t>
  </si>
  <si>
    <t xml:space="preserve">Fuel stops</t>
  </si>
  <si>
    <t xml:space="preserve">Line haul (doc)</t>
  </si>
  <si>
    <t xml:space="preserve">Line haul (system)</t>
  </si>
  <si>
    <t xml:space="preserve">Diff</t>
  </si>
  <si>
    <t xml:space="preserve">Diesel (doc)</t>
  </si>
  <si>
    <t xml:space="preserve">Diesel (system)</t>
  </si>
  <si>
    <t xml:space="preserve">Salary (doc)</t>
  </si>
  <si>
    <t xml:space="preserve">Salary (system)</t>
  </si>
  <si>
    <t xml:space="preserve">Addl pay (doc)</t>
  </si>
  <si>
    <t xml:space="preserve">Addl pay (system)</t>
  </si>
  <si>
    <t xml:space="preserve">Reimbursed (doc)</t>
  </si>
  <si>
    <t xml:space="preserve">Reimbursed (system)</t>
  </si>
  <si>
    <t xml:space="preserve">Deductions (doc)</t>
  </si>
  <si>
    <t xml:space="preserve">Deductions (system)</t>
  </si>
  <si>
    <t xml:space="preserve">TOTAL DUE (doc)</t>
  </si>
  <si>
    <t xml:space="preserve">TOTAL DUE (system)</t>
  </si>
  <si>
    <t xml:space="preserve">MATCH</t>
  </si>
  <si>
    <t xml:space="preserve">CODERS</t>
  </si>
  <si>
    <t xml:space="preserve">Neftali Coronado Urbano</t>
  </si>
  <si>
    <t xml:space="preserve">T175, T176</t>
  </si>
  <si>
    <t xml:space="preserve">JORGE FLORES VALADEZ</t>
  </si>
  <si>
    <t xml:space="preserve">T144</t>
  </si>
  <si>
    <t xml:space="preserve">Leonel Antonio Morales</t>
  </si>
  <si>
    <t xml:space="preserve">T171</t>
  </si>
  <si>
    <t xml:space="preserve">Ruben Pedro Perez Garcia</t>
  </si>
  <si>
    <t xml:space="preserve">T174</t>
  </si>
  <si>
    <t xml:space="preserve">JOSE MIGUEL DE SANTIAGO PALACIOS</t>
  </si>
  <si>
    <t xml:space="preserve">T164</t>
  </si>
  <si>
    <t xml:space="preserve">Jorge Luis Infante Corona</t>
  </si>
  <si>
    <t xml:space="preserve">T175, T177</t>
  </si>
  <si>
    <t xml:space="preserve">T176</t>
  </si>
  <si>
    <t xml:space="preserve">OWNER</t>
  </si>
  <si>
    <t xml:space="preserve">Rafael Rogelio Rivero Reynoso</t>
  </si>
  <si>
    <t xml:space="preserve">T148</t>
  </si>
  <si>
    <t xml:space="preserve">JOSE ANTONIO VICENTE MARTINEZ</t>
  </si>
  <si>
    <t xml:space="preserve">T168</t>
  </si>
  <si>
    <t xml:space="preserve">HUGO GAYTAN SARABIA</t>
  </si>
  <si>
    <t xml:space="preserve">T173</t>
  </si>
  <si>
    <t xml:space="preserve">Angel Alfonso Sosa Perez</t>
  </si>
  <si>
    <t xml:space="preserve">T156</t>
  </si>
  <si>
    <t xml:space="preserve">T177</t>
  </si>
  <si>
    <t xml:space="preserve">PEDRO ABRAHAM LOPEZ COLLADO</t>
  </si>
  <si>
    <t xml:space="preserve">T152</t>
  </si>
  <si>
    <t xml:space="preserve">Concepcion Cordova Dominguez</t>
  </si>
  <si>
    <t xml:space="preserve">T163</t>
  </si>
  <si>
    <t xml:space="preserve">ALFONSO HIDALGO CHAVEZ</t>
  </si>
  <si>
    <t xml:space="preserve">T147, T175</t>
  </si>
  <si>
    <t xml:space="preserve">LUIS ARMANDO SOSA PEREZ</t>
  </si>
  <si>
    <t xml:space="preserve">T170</t>
  </si>
  <si>
    <t xml:space="preserve">T175</t>
  </si>
  <si>
    <t xml:space="preserve">Genaro Guerrero Chavez</t>
  </si>
  <si>
    <t xml:space="preserve">TOTAL</t>
  </si>
  <si>
    <t xml:space="preserve">MILEAGE ENGINE ACCURACY — OUR ENGINE vs PC*MILER, 81 LOADS</t>
  </si>
  <si>
    <t xml:space="preserve">Enter the ADDRESSES in the app and let our engine route them. Paste what IT computed. Do not type the settlement figure into the yellow columns — that defeats the whole test.</t>
  </si>
  <si>
    <t xml:space="preserve">Load</t>
  </si>
  <si>
    <t xml:space="preserve">Trailer</t>
  </si>
  <si>
    <t xml:space="preserve">Customer</t>
  </si>
  <si>
    <t xml:space="preserve">Pay basis</t>
  </si>
  <si>
    <t xml:space="preserve">Stops</t>
  </si>
  <si>
    <t xml:space="preserve">PRACTICAL — PC*MILER</t>
  </si>
  <si>
    <t xml:space="preserve">PRACTICAL — our engine</t>
  </si>
  <si>
    <t xml:space="preserve">Diff mi</t>
  </si>
  <si>
    <t xml:space="preserve">Diff %</t>
  </si>
  <si>
    <t xml:space="preserve">SHORTEST — PC*MILER</t>
  </si>
  <si>
    <t xml:space="preserve">SHORTEST — our engine</t>
  </si>
  <si>
    <t xml:space="preserve">EMPTY — PC*MILER</t>
  </si>
  <si>
    <t xml:space="preserve">EMPTY — our engine</t>
  </si>
  <si>
    <t xml:space="preserve">Rate loaded</t>
  </si>
  <si>
    <t xml:space="preserve">Rate empty</t>
  </si>
  <si>
    <t xml:space="preserve">Loaded pay — settlement</t>
  </si>
  <si>
    <t xml:space="preserve">Loaded pay — our engine</t>
  </si>
  <si>
    <t xml:space="preserve">Diff $</t>
  </si>
  <si>
    <t xml:space="preserve">Deadhead pay — settlement</t>
  </si>
  <si>
    <t xml:space="preserve">Deadhead pay — our engine</t>
  </si>
  <si>
    <t xml:space="preserve">Revenue</t>
  </si>
  <si>
    <t xml:space="preserve">Fuel $</t>
  </si>
  <si>
    <t xml:space="preserve">13471</t>
  </si>
  <si>
    <t xml:space="preserve">FB-56710</t>
  </si>
  <si>
    <t xml:space="preserve">TC Freight LLC</t>
  </si>
  <si>
    <t xml:space="preserve">Per mile</t>
  </si>
  <si>
    <t xml:space="preserve">13480</t>
  </si>
  <si>
    <t xml:space="preserve">FB-56704</t>
  </si>
  <si>
    <t xml:space="preserve">Semares Forwarding Services</t>
  </si>
  <si>
    <t xml:space="preserve">13481</t>
  </si>
  <si>
    <t xml:space="preserve">10222</t>
  </si>
  <si>
    <t xml:space="preserve">Larralde Transport Company, LLC</t>
  </si>
  <si>
    <t xml:space="preserve">13489</t>
  </si>
  <si>
    <t xml:space="preserve">BVB FREIGHT</t>
  </si>
  <si>
    <t xml:space="preserve">13482</t>
  </si>
  <si>
    <t xml:space="preserve">10202</t>
  </si>
  <si>
    <t xml:space="preserve">EGRO TRANSPORT LLC</t>
  </si>
  <si>
    <t xml:space="preserve">13485</t>
  </si>
  <si>
    <t xml:space="preserve">Unlimited Logistics</t>
  </si>
  <si>
    <t xml:space="preserve">13484</t>
  </si>
  <si>
    <t xml:space="preserve">10224</t>
  </si>
  <si>
    <t xml:space="preserve">13491</t>
  </si>
  <si>
    <t xml:space="preserve">GAB Operations LLC.</t>
  </si>
  <si>
    <t xml:space="preserve">13486</t>
  </si>
  <si>
    <t xml:space="preserve">10380</t>
  </si>
  <si>
    <t xml:space="preserve">Sam Farms LLC</t>
  </si>
  <si>
    <t xml:space="preserve">13488</t>
  </si>
  <si>
    <t xml:space="preserve">On A Roll Trucking</t>
  </si>
  <si>
    <t xml:space="preserve">13487</t>
  </si>
  <si>
    <t xml:space="preserve">13493</t>
  </si>
  <si>
    <t xml:space="preserve">FB-56207</t>
  </si>
  <si>
    <t xml:space="preserve">Integrity Expres Logistics</t>
  </si>
  <si>
    <t xml:space="preserve">13492</t>
  </si>
  <si>
    <t xml:space="preserve">13499</t>
  </si>
  <si>
    <t xml:space="preserve">13501</t>
  </si>
  <si>
    <t xml:space="preserve">447</t>
  </si>
  <si>
    <t xml:space="preserve">PAYPA TRANSPORT</t>
  </si>
  <si>
    <t xml:space="preserve">FLAT RATE OVERRIDE</t>
  </si>
  <si>
    <t xml:space="preserve">13495</t>
  </si>
  <si>
    <t xml:space="preserve">13496</t>
  </si>
  <si>
    <t xml:space="preserve">10209</t>
  </si>
  <si>
    <t xml:space="preserve">Smartway Transportation Inc</t>
  </si>
  <si>
    <t xml:space="preserve">13494</t>
  </si>
  <si>
    <t xml:space="preserve">Arvi Logistics</t>
  </si>
  <si>
    <t xml:space="preserve">13500</t>
  </si>
  <si>
    <t xml:space="preserve">13498</t>
  </si>
  <si>
    <t xml:space="preserve">538306</t>
  </si>
  <si>
    <t xml:space="preserve">Value Logistics Inc DBA A1 Value</t>
  </si>
  <si>
    <t xml:space="preserve">13508</t>
  </si>
  <si>
    <t xml:space="preserve">NCC Logistics México</t>
  </si>
  <si>
    <t xml:space="preserve">13503</t>
  </si>
  <si>
    <t xml:space="preserve">FB-56210</t>
  </si>
  <si>
    <t xml:space="preserve">13509</t>
  </si>
  <si>
    <t xml:space="preserve">ES Logistics International LLC</t>
  </si>
  <si>
    <t xml:space="preserve">13504</t>
  </si>
  <si>
    <t xml:space="preserve">13510</t>
  </si>
  <si>
    <t xml:space="preserve">IMPACT BULK LOGISTICS</t>
  </si>
  <si>
    <t xml:space="preserve">13502</t>
  </si>
  <si>
    <t xml:space="preserve">53R19049</t>
  </si>
  <si>
    <t xml:space="preserve">13507</t>
  </si>
  <si>
    <t xml:space="preserve">TWIN CITIES</t>
  </si>
  <si>
    <t xml:space="preserve">13512</t>
  </si>
  <si>
    <t xml:space="preserve">53211</t>
  </si>
  <si>
    <t xml:space="preserve">Watco Supply Chain Services LLC DBA Watco Logistics</t>
  </si>
  <si>
    <t xml:space="preserve">13513</t>
  </si>
  <si>
    <t xml:space="preserve">FLS Transportation Services Limited</t>
  </si>
  <si>
    <t xml:space="preserve">13497</t>
  </si>
  <si>
    <t xml:space="preserve">252111</t>
  </si>
  <si>
    <t xml:space="preserve">Mexicom Logistics</t>
  </si>
  <si>
    <t xml:space="preserve">13511</t>
  </si>
  <si>
    <t xml:space="preserve">Rehmann Transportation Corp.</t>
  </si>
  <si>
    <t xml:space="preserve">13517</t>
  </si>
  <si>
    <t xml:space="preserve">Refrigerx Transportation LLC</t>
  </si>
  <si>
    <t xml:space="preserve">13518</t>
  </si>
  <si>
    <t xml:space="preserve">CTS Xpress LLC</t>
  </si>
  <si>
    <t xml:space="preserve">13506</t>
  </si>
  <si>
    <t xml:space="preserve">8258</t>
  </si>
  <si>
    <t xml:space="preserve">DH Express Inc</t>
  </si>
  <si>
    <t xml:space="preserve">13514</t>
  </si>
  <si>
    <t xml:space="preserve">35505</t>
  </si>
  <si>
    <t xml:space="preserve">Magna Logistics Group LLC</t>
  </si>
  <si>
    <t xml:space="preserve">13516</t>
  </si>
  <si>
    <t xml:space="preserve">Sethmar Transportation</t>
  </si>
  <si>
    <t xml:space="preserve">13505</t>
  </si>
  <si>
    <t xml:space="preserve">T147</t>
  </si>
  <si>
    <t xml:space="preserve">216</t>
  </si>
  <si>
    <t xml:space="preserve">13515</t>
  </si>
  <si>
    <t xml:space="preserve">0016</t>
  </si>
  <si>
    <t xml:space="preserve">13520</t>
  </si>
  <si>
    <t xml:space="preserve">00121</t>
  </si>
  <si>
    <t xml:space="preserve">BV LOGISTICS INC</t>
  </si>
  <si>
    <t xml:space="preserve">13519</t>
  </si>
  <si>
    <t xml:space="preserve">13521</t>
  </si>
  <si>
    <t xml:space="preserve">Core Logistics Brokerage</t>
  </si>
  <si>
    <t xml:space="preserve">13524</t>
  </si>
  <si>
    <t xml:space="preserve">MPH CARRIER SERVICES, INC</t>
  </si>
  <si>
    <t xml:space="preserve">13525</t>
  </si>
  <si>
    <t xml:space="preserve">10219</t>
  </si>
  <si>
    <t xml:space="preserve">13526</t>
  </si>
  <si>
    <t xml:space="preserve">201050</t>
  </si>
  <si>
    <t xml:space="preserve">JRAYL TRANSPORT</t>
  </si>
  <si>
    <t xml:space="preserve">13527</t>
  </si>
  <si>
    <t xml:space="preserve">13530</t>
  </si>
  <si>
    <t xml:space="preserve">10876</t>
  </si>
  <si>
    <t xml:space="preserve">BBA Logistics</t>
  </si>
  <si>
    <t xml:space="preserve">13532</t>
  </si>
  <si>
    <t xml:space="preserve">10376</t>
  </si>
  <si>
    <t xml:space="preserve">Del-Can Logistics LLC</t>
  </si>
  <si>
    <t xml:space="preserve">13523</t>
  </si>
  <si>
    <t xml:space="preserve">DLS Dardini Logistics Services</t>
  </si>
  <si>
    <t xml:space="preserve">13534</t>
  </si>
  <si>
    <t xml:space="preserve">13529</t>
  </si>
  <si>
    <t xml:space="preserve">13540</t>
  </si>
  <si>
    <t xml:space="preserve">10870</t>
  </si>
  <si>
    <t xml:space="preserve">IM Specialized Logistics, LLC.</t>
  </si>
  <si>
    <t xml:space="preserve">13535</t>
  </si>
  <si>
    <t xml:space="preserve">13537</t>
  </si>
  <si>
    <t xml:space="preserve">OSTT Logistics</t>
  </si>
  <si>
    <t xml:space="preserve">13522</t>
  </si>
  <si>
    <t xml:space="preserve">13528</t>
  </si>
  <si>
    <t xml:space="preserve">Sajacks Freight</t>
  </si>
  <si>
    <t xml:space="preserve">13536</t>
  </si>
  <si>
    <t xml:space="preserve">PRODIGEE LOGISTICS LLC</t>
  </si>
  <si>
    <t xml:space="preserve">13531</t>
  </si>
  <si>
    <t xml:space="preserve">13538</t>
  </si>
  <si>
    <t xml:space="preserve">Jericho freight LLC</t>
  </si>
  <si>
    <t xml:space="preserve">13543</t>
  </si>
  <si>
    <t xml:space="preserve">PFL Logistics CO.</t>
  </si>
  <si>
    <t xml:space="preserve">13533</t>
  </si>
  <si>
    <t xml:space="preserve">13548</t>
  </si>
  <si>
    <t xml:space="preserve">13549</t>
  </si>
  <si>
    <t xml:space="preserve">0510</t>
  </si>
  <si>
    <t xml:space="preserve">R2X LLC</t>
  </si>
  <si>
    <t xml:space="preserve">13555</t>
  </si>
  <si>
    <t xml:space="preserve">2EMS TRANSPORTATION</t>
  </si>
  <si>
    <t xml:space="preserve">13539</t>
  </si>
  <si>
    <t xml:space="preserve">13546</t>
  </si>
  <si>
    <t xml:space="preserve">John J. Jerue Truck Broker, Inc</t>
  </si>
  <si>
    <t xml:space="preserve">13552</t>
  </si>
  <si>
    <t xml:space="preserve">13550</t>
  </si>
  <si>
    <t xml:space="preserve">FB-56713</t>
  </si>
  <si>
    <t xml:space="preserve">13557</t>
  </si>
  <si>
    <t xml:space="preserve">DGL Freight Broker</t>
  </si>
  <si>
    <t xml:space="preserve">13542</t>
  </si>
  <si>
    <t xml:space="preserve">SIMPLE LOGISTICS SOLUTIONS</t>
  </si>
  <si>
    <t xml:space="preserve">13554</t>
  </si>
  <si>
    <t xml:space="preserve">13545</t>
  </si>
  <si>
    <t xml:space="preserve">13560</t>
  </si>
  <si>
    <t xml:space="preserve">Sheer</t>
  </si>
  <si>
    <t xml:space="preserve">13547</t>
  </si>
  <si>
    <t xml:space="preserve">13559</t>
  </si>
  <si>
    <t xml:space="preserve">SFL Companies</t>
  </si>
  <si>
    <t xml:space="preserve">13562</t>
  </si>
  <si>
    <t xml:space="preserve">Premium Express</t>
  </si>
  <si>
    <t xml:space="preserve">13565</t>
  </si>
  <si>
    <t xml:space="preserve">231207</t>
  </si>
  <si>
    <t xml:space="preserve">Hummingbird Logistix, LLC.</t>
  </si>
  <si>
    <t xml:space="preserve">13566</t>
  </si>
  <si>
    <t xml:space="preserve">23512</t>
  </si>
  <si>
    <t xml:space="preserve">BROCK TRANSPORTATION</t>
  </si>
  <si>
    <t xml:space="preserve">13558</t>
  </si>
  <si>
    <t xml:space="preserve">AB Global Logistics , Inc</t>
  </si>
  <si>
    <t xml:space="preserve">13568</t>
  </si>
  <si>
    <t xml:space="preserve">13561</t>
  </si>
  <si>
    <t xml:space="preserve">13567</t>
  </si>
  <si>
    <t xml:space="preserve">FUEL LINES — 180 INDIVIDUAL DIESEL PURCHASES</t>
  </si>
  <si>
    <t xml:space="preserve">If the system cannot produce 180 rows here, it consolidated the fuel and that is the finding.</t>
  </si>
  <si>
    <t xml:space="preserve">Date</t>
  </si>
  <si>
    <t xml:space="preserve">Vendor</t>
  </si>
  <si>
    <t xml:space="preserve">Location</t>
  </si>
  <si>
    <t xml:space="preserve">Invoice #</t>
  </si>
  <si>
    <t xml:space="preserve">Gallons (doc)</t>
  </si>
  <si>
    <t xml:space="preserve">Gallons (system)</t>
  </si>
  <si>
    <t xml:space="preserve">CPG (doc)</t>
  </si>
  <si>
    <t xml:space="preserve">Amount (doc)</t>
  </si>
  <si>
    <t xml:space="preserve">Amount (system)</t>
  </si>
  <si>
    <t xml:space="preserve">2026-07-21</t>
  </si>
  <si>
    <t xml:space="preserve">LOVES</t>
  </si>
  <si>
    <t xml:space="preserve">101 PINNACLE ROAD LAREDO,TX, TX</t>
  </si>
  <si>
    <t xml:space="preserve">1903151</t>
  </si>
  <si>
    <t xml:space="preserve">2026-07-25</t>
  </si>
  <si>
    <t xml:space="preserve">10465LONESOME PINE TRAIL M,TN, TN</t>
  </si>
  <si>
    <t xml:space="preserve">99431992</t>
  </si>
  <si>
    <t xml:space="preserve">2026-07-26</t>
  </si>
  <si>
    <t xml:space="preserve">1119AIRPORT FERNWOOD RD MCCOMB, MS</t>
  </si>
  <si>
    <t xml:space="preserve">99251451</t>
  </si>
  <si>
    <t xml:space="preserve">2026-07-22</t>
  </si>
  <si>
    <t xml:space="preserve">20HWY607 PICAYUNE,MS, MS</t>
  </si>
  <si>
    <t xml:space="preserve">99777971</t>
  </si>
  <si>
    <t xml:space="preserve">2026-07-23</t>
  </si>
  <si>
    <t xml:space="preserve">5275NORTH FORK RD ELLISTON,VA, VA</t>
  </si>
  <si>
    <t xml:space="preserve">99386818</t>
  </si>
  <si>
    <t xml:space="preserve">2026-07-29</t>
  </si>
  <si>
    <t xml:space="preserve">2050HWY 70E JACKSON,TN, TN</t>
  </si>
  <si>
    <t xml:space="preserve">1901460</t>
  </si>
  <si>
    <t xml:space="preserve">2026-07-31</t>
  </si>
  <si>
    <t xml:space="preserve">13820HWY641N HOLLADAY,TN, TN</t>
  </si>
  <si>
    <t xml:space="preserve">2954174</t>
  </si>
  <si>
    <t xml:space="preserve">2026-08-03</t>
  </si>
  <si>
    <t xml:space="preserve">11361SIH-35SAN ANTONIO,TX, TX</t>
  </si>
  <si>
    <t xml:space="preserve">1659178</t>
  </si>
  <si>
    <t xml:space="preserve">2026-07-28</t>
  </si>
  <si>
    <t xml:space="preserve">21548FM471S NATALIA,TX, TX</t>
  </si>
  <si>
    <t xml:space="preserve">99510004</t>
  </si>
  <si>
    <t xml:space="preserve">101 PINNACLE ROAD LAREDO.TX, TX</t>
  </si>
  <si>
    <t xml:space="preserve">99977326</t>
  </si>
  <si>
    <t xml:space="preserve">2026-07-30</t>
  </si>
  <si>
    <t xml:space="preserve">2580HIGH ST SARCOCIE,MO, MO</t>
  </si>
  <si>
    <t xml:space="preserve">99511641</t>
  </si>
  <si>
    <t xml:space="preserve">3443N,MAUMEE STREET ANGOLA,IN, IN</t>
  </si>
  <si>
    <t xml:space="preserve">99088992</t>
  </si>
  <si>
    <t xml:space="preserve">2026-08-02</t>
  </si>
  <si>
    <t xml:space="preserve">725HWY35NORTH BETESVILLE,MS, MS</t>
  </si>
  <si>
    <t xml:space="preserve">99889990</t>
  </si>
  <si>
    <t xml:space="preserve">1963SIH35 SUITE A COTULLA,TX, TX</t>
  </si>
  <si>
    <t xml:space="preserve">99499358</t>
  </si>
  <si>
    <t xml:space="preserve">202NORTH AVENUE INA,IL, IL</t>
  </si>
  <si>
    <t xml:space="preserve">99570519</t>
  </si>
  <si>
    <t xml:space="preserve">1001W11THAVE MONMOUTH,IL, IL</t>
  </si>
  <si>
    <t xml:space="preserve">99553606</t>
  </si>
  <si>
    <t xml:space="preserve">3201 12TH N.W ARDMORE,OK, OK</t>
  </si>
  <si>
    <t xml:space="preserve">99700596</t>
  </si>
  <si>
    <t xml:space="preserve">2026-07-27</t>
  </si>
  <si>
    <t xml:space="preserve">99977021</t>
  </si>
  <si>
    <t xml:space="preserve">99977165</t>
  </si>
  <si>
    <t xml:space="preserve">101 PINNCALE ROAD LAREDO,TX, TX</t>
  </si>
  <si>
    <t xml:space="preserve">99977474</t>
  </si>
  <si>
    <t xml:space="preserve">21548FM471SOUTH NATALIA,TX, TX</t>
  </si>
  <si>
    <t xml:space="preserve">99510006</t>
  </si>
  <si>
    <t xml:space="preserve">1501CORSICANA.HWYHILL SBORO,TX, TX</t>
  </si>
  <si>
    <t xml:space="preserve">99357842</t>
  </si>
  <si>
    <t xml:space="preserve">1401SOUTH MAIN ST SIKESTON,MD, MD</t>
  </si>
  <si>
    <t xml:space="preserve">99810858</t>
  </si>
  <si>
    <t xml:space="preserve">3910S,DIVISION STREET B,AR, AR</t>
  </si>
  <si>
    <t xml:space="preserve">99440108</t>
  </si>
  <si>
    <t xml:space="preserve">99977523</t>
  </si>
  <si>
    <t xml:space="preserve">99977529</t>
  </si>
  <si>
    <t xml:space="preserve">751LOBDELL HWY SOUTH PORT A,LA, LA</t>
  </si>
  <si>
    <t xml:space="preserve">99015127</t>
  </si>
  <si>
    <t xml:space="preserve">99436230</t>
  </si>
  <si>
    <t xml:space="preserve">2026-08-01</t>
  </si>
  <si>
    <t xml:space="preserve">10465LONESME PINE TRAIL,M,TN, TN</t>
  </si>
  <si>
    <t xml:space="preserve">99438151</t>
  </si>
  <si>
    <t xml:space="preserve">13510INDUSTRIAL DRIVE MINDEN, LA</t>
  </si>
  <si>
    <t xml:space="preserve">99859232</t>
  </si>
  <si>
    <t xml:space="preserve">99438150</t>
  </si>
  <si>
    <t xml:space="preserve">13510 INDUSTRIAL DRIVE MINDEN, LA</t>
  </si>
  <si>
    <t xml:space="preserve">99859231</t>
  </si>
  <si>
    <t xml:space="preserve">101PINNACLE ROAD LAREDO,TX, TX</t>
  </si>
  <si>
    <t xml:space="preserve">99977526</t>
  </si>
  <si>
    <t xml:space="preserve">10465 LONESOME PINE TRAIL M,TN, TN</t>
  </si>
  <si>
    <t xml:space="preserve">99436235</t>
  </si>
  <si>
    <t xml:space="preserve">99436225</t>
  </si>
  <si>
    <t xml:space="preserve">99980133</t>
  </si>
  <si>
    <t xml:space="preserve">2026-08-04</t>
  </si>
  <si>
    <t xml:space="preserve">7005HWY225DERR PARK TX, TX</t>
  </si>
  <si>
    <t xml:space="preserve">2841323</t>
  </si>
  <si>
    <t xml:space="preserve">1909362</t>
  </si>
  <si>
    <t xml:space="preserve">2005HWY 19NORTH PRESCOTT,AR, AR</t>
  </si>
  <si>
    <t xml:space="preserve">2577640</t>
  </si>
  <si>
    <t xml:space="preserve">9901SCHUSTER WAY ETNA,OH, OH</t>
  </si>
  <si>
    <t xml:space="preserve">99053452</t>
  </si>
  <si>
    <t xml:space="preserve">2971HWY48SOUTH DICKSON,TN, TN</t>
  </si>
  <si>
    <t xml:space="preserve">99113999</t>
  </si>
  <si>
    <t xml:space="preserve">2026-08-05</t>
  </si>
  <si>
    <t xml:space="preserve">1021DALE EVANS ITALY,TX, TX</t>
  </si>
  <si>
    <t xml:space="preserve">9983585</t>
  </si>
  <si>
    <t xml:space="preserve">3158WEST IH-10 SEGUIN,TX, TX</t>
  </si>
  <si>
    <t xml:space="preserve">99384848</t>
  </si>
  <si>
    <t xml:space="preserve">215EASTI-30N SCVRD MTVERNON,TX, TX</t>
  </si>
  <si>
    <t xml:space="preserve">99283136</t>
  </si>
  <si>
    <t xml:space="preserve">1405KNOX HWY9 KNOXVILLE,IL, IL</t>
  </si>
  <si>
    <t xml:space="preserve">9966627</t>
  </si>
  <si>
    <t xml:space="preserve">99574579</t>
  </si>
  <si>
    <t xml:space="preserve">1610COTTON GIN ROAD TROY,TX, TX</t>
  </si>
  <si>
    <t xml:space="preserve">99771514</t>
  </si>
  <si>
    <t xml:space="preserve">2026-08-06</t>
  </si>
  <si>
    <t xml:space="preserve">1010NMAIN PALESTINE,AR, AR</t>
  </si>
  <si>
    <t xml:space="preserve">1073769</t>
  </si>
  <si>
    <t xml:space="preserve">2026-08-07</t>
  </si>
  <si>
    <t xml:space="preserve">2870483</t>
  </si>
  <si>
    <t xml:space="preserve">900SEAGLE STWEIMAR,TX, TX</t>
  </si>
  <si>
    <t xml:space="preserve">99301244</t>
  </si>
  <si>
    <t xml:space="preserve">20HWY 607PICAYUNE,MS, MS</t>
  </si>
  <si>
    <t xml:space="preserve">99789398</t>
  </si>
  <si>
    <t xml:space="preserve">99442334</t>
  </si>
  <si>
    <t xml:space="preserve">2026-08-09</t>
  </si>
  <si>
    <t xml:space="preserve">9944239</t>
  </si>
  <si>
    <t xml:space="preserve">2026-08-10</t>
  </si>
  <si>
    <t xml:space="preserve">135HWY44ENCINAL,TX, TX</t>
  </si>
  <si>
    <t xml:space="preserve">99322441</t>
  </si>
  <si>
    <t xml:space="preserve">9530SOUTHTON ROAD SAN ANTONIO, TX</t>
  </si>
  <si>
    <t xml:space="preserve">90083185</t>
  </si>
  <si>
    <t xml:space="preserve">99442342</t>
  </si>
  <si>
    <t xml:space="preserve">99444242</t>
  </si>
  <si>
    <t xml:space="preserve">99518851</t>
  </si>
  <si>
    <t xml:space="preserve">1909308</t>
  </si>
  <si>
    <t xml:space="preserve">1910313</t>
  </si>
  <si>
    <t xml:space="preserve">6716 Hwy 171 Malvern AR 72104, AR</t>
  </si>
  <si>
    <t xml:space="preserve">482TREE FARM ROAD NEW FARM RD, MO</t>
  </si>
  <si>
    <t xml:space="preserve">99870689</t>
  </si>
  <si>
    <t xml:space="preserve">FLYING</t>
  </si>
  <si>
    <t xml:space="preserve">102FORM DRIVE WAYLAND,MD, MD</t>
  </si>
  <si>
    <t xml:space="preserve">99975493</t>
  </si>
  <si>
    <t xml:space="preserve">2026-08-11</t>
  </si>
  <si>
    <t xml:space="preserve">PILOT</t>
  </si>
  <si>
    <t xml:space="preserve">2409SO NEW ROAD WACO,TX, TX</t>
  </si>
  <si>
    <t xml:space="preserve">99014843</t>
  </si>
  <si>
    <t xml:space="preserve">99513946</t>
  </si>
  <si>
    <t xml:space="preserve">13023US35 JEFFERSONVILLE,OH, OH</t>
  </si>
  <si>
    <t xml:space="preserve">1235975</t>
  </si>
  <si>
    <t xml:space="preserve">433OLD GATE LANE MILFORD,CT, CT</t>
  </si>
  <si>
    <t xml:space="preserve">99564446</t>
  </si>
  <si>
    <t xml:space="preserve">2026-08-08</t>
  </si>
  <si>
    <t xml:space="preserve">`601SOUTH RING RD ELIZABETHTOW, KY</t>
  </si>
  <si>
    <t xml:space="preserve">99061371</t>
  </si>
  <si>
    <t xml:space="preserve">99886347</t>
  </si>
  <si>
    <t xml:space="preserve">9982105</t>
  </si>
  <si>
    <t xml:space="preserve">2050HWY#70E JACKSON,TN, TN</t>
  </si>
  <si>
    <t xml:space="preserve">99462767</t>
  </si>
  <si>
    <t xml:space="preserve">2026-08-12</t>
  </si>
  <si>
    <t xml:space="preserve">99121316</t>
  </si>
  <si>
    <t xml:space="preserve">1911564</t>
  </si>
  <si>
    <t xml:space="preserve">21548FM 471S NATALIA,TXTX, TX</t>
  </si>
  <si>
    <t xml:space="preserve">99515499</t>
  </si>
  <si>
    <t xml:space="preserve">9191STATE ROUTE 140 HAMEL.IL, IL</t>
  </si>
  <si>
    <t xml:space="preserve">2873954</t>
  </si>
  <si>
    <t xml:space="preserve">1500HWY 72W FREDERICKTOWN,MD, MD</t>
  </si>
  <si>
    <t xml:space="preserve">2402527</t>
  </si>
  <si>
    <t xml:space="preserve">4440NORTH MC CARTY STREET H,TX, TX</t>
  </si>
  <si>
    <t xml:space="preserve">6092647</t>
  </si>
  <si>
    <t xml:space="preserve">2026-08-13</t>
  </si>
  <si>
    <t xml:space="preserve">705HWY225DEERPARK,TX , TX</t>
  </si>
  <si>
    <t xml:space="preserve">1597119</t>
  </si>
  <si>
    <t xml:space="preserve">1911087</t>
  </si>
  <si>
    <t xml:space="preserve">2876136</t>
  </si>
  <si>
    <t xml:space="preserve">2821548FM471S NATALIA,TX76143, TX</t>
  </si>
  <si>
    <t xml:space="preserve">2876143</t>
  </si>
  <si>
    <t xml:space="preserve">1703EASTFWY BAYTOWN,TX, TX</t>
  </si>
  <si>
    <t xml:space="preserve">99822323</t>
  </si>
  <si>
    <t xml:space="preserve">99447451</t>
  </si>
  <si>
    <t xml:space="preserve">400NSTATE HWY 125STAFFORD,MO, MO</t>
  </si>
  <si>
    <t xml:space="preserve">99106176</t>
  </si>
  <si>
    <t xml:space="preserve">99887970</t>
  </si>
  <si>
    <t xml:space="preserve">99519884</t>
  </si>
  <si>
    <t xml:space="preserve">99448116</t>
  </si>
  <si>
    <t xml:space="preserve">2026-08-15</t>
  </si>
  <si>
    <t xml:space="preserve">99450055</t>
  </si>
  <si>
    <t xml:space="preserve">2026-08-16</t>
  </si>
  <si>
    <t xml:space="preserve">20HWY607PICAYUNE,MS, MS</t>
  </si>
  <si>
    <t xml:space="preserve">99798243</t>
  </si>
  <si>
    <t xml:space="preserve">99517553</t>
  </si>
  <si>
    <t xml:space="preserve">99491524</t>
  </si>
  <si>
    <t xml:space="preserve">400L&amp;N TURNPIKE HORSE C KY, KY</t>
  </si>
  <si>
    <t xml:space="preserve">99418954</t>
  </si>
  <si>
    <t xml:space="preserve">3301 GREYHOUND DR WATERLOO,IA, IA</t>
  </si>
  <si>
    <t xml:space="preserve">99694065</t>
  </si>
  <si>
    <t xml:space="preserve">I-35/SR22EXIT 368 HILLSBORO,TX, TX</t>
  </si>
  <si>
    <t xml:space="preserve">99366495</t>
  </si>
  <si>
    <t xml:space="preserve">2026-08-17</t>
  </si>
  <si>
    <t xml:space="preserve">203NHAUGHTON HWY GREENUP,IL, IL</t>
  </si>
  <si>
    <t xml:space="preserve">99264345</t>
  </si>
  <si>
    <t xml:space="preserve">2026-08-19</t>
  </si>
  <si>
    <t xml:space="preserve">215EAST I-30NSVC RD MTVERNON, TX</t>
  </si>
  <si>
    <t xml:space="preserve">99291854</t>
  </si>
  <si>
    <t xml:space="preserve">2026-08-14</t>
  </si>
  <si>
    <t xml:space="preserve">101PINNACLE ROAD LAREDO TX, TX</t>
  </si>
  <si>
    <t xml:space="preserve">99985047</t>
  </si>
  <si>
    <t xml:space="preserve">21548FM47SNATALIA,TX, TX</t>
  </si>
  <si>
    <t xml:space="preserve">2880342</t>
  </si>
  <si>
    <t xml:space="preserve">215EAST I-30N.SVCRD MT.VERNON,, TX</t>
  </si>
  <si>
    <t xml:space="preserve">3615837</t>
  </si>
  <si>
    <t xml:space="preserve">1132371</t>
  </si>
  <si>
    <t xml:space="preserve">21548FM 471S NATALIA,TX, TX</t>
  </si>
  <si>
    <t xml:space="preserve">99525016</t>
  </si>
  <si>
    <t xml:space="preserve">21548FM471SNATALIA,TX, TX</t>
  </si>
  <si>
    <t xml:space="preserve">99522983</t>
  </si>
  <si>
    <t xml:space="preserve">900SEAGLEST WEIMAR,TX, TX</t>
  </si>
  <si>
    <t xml:space="preserve">99308095</t>
  </si>
  <si>
    <t xml:space="preserve">1917HWY18WEST POINT,GA, GA</t>
  </si>
  <si>
    <t xml:space="preserve">99630372</t>
  </si>
  <si>
    <t xml:space="preserve">2026-08-20</t>
  </si>
  <si>
    <t xml:space="preserve">66595WADSWORTH PKWY MANDEVILLE, LA</t>
  </si>
  <si>
    <t xml:space="preserve">99133290</t>
  </si>
  <si>
    <t xml:space="preserve">2026-08-23</t>
  </si>
  <si>
    <t xml:space="preserve">2609NORTH BELTLINE HWY P,AL, AL</t>
  </si>
  <si>
    <t xml:space="preserve">99913592</t>
  </si>
  <si>
    <t xml:space="preserve">99524227</t>
  </si>
  <si>
    <t xml:space="preserve">431MAIN STREET SHORTER,AL, AL</t>
  </si>
  <si>
    <t xml:space="preserve">99365532</t>
  </si>
  <si>
    <t xml:space="preserve">2026-08-22</t>
  </si>
  <si>
    <t xml:space="preserve">770MOORES FERRY RD SKIPPERS,VA, VA</t>
  </si>
  <si>
    <t xml:space="preserve">99587271</t>
  </si>
  <si>
    <t xml:space="preserve">1118LOWE-GROUT RD IOWA,LA, LA</t>
  </si>
  <si>
    <t xml:space="preserve">99497016</t>
  </si>
  <si>
    <t xml:space="preserve">99525008</t>
  </si>
  <si>
    <t xml:space="preserve">10465LONESMOE PINE TRAIL M,TN, TN</t>
  </si>
  <si>
    <t xml:space="preserve">99454237</t>
  </si>
  <si>
    <t xml:space="preserve">99456225</t>
  </si>
  <si>
    <t xml:space="preserve">2026-08-24</t>
  </si>
  <si>
    <t xml:space="preserve">99529093</t>
  </si>
  <si>
    <t xml:space="preserve">99984843</t>
  </si>
  <si>
    <t xml:space="preserve">99522909</t>
  </si>
  <si>
    <t xml:space="preserve">11700I-30LITTLE ROCK AR, AR</t>
  </si>
  <si>
    <t xml:space="preserve">99566003</t>
  </si>
  <si>
    <t xml:space="preserve">313PORTER RD SADIAVILLE,KY, KY</t>
  </si>
  <si>
    <t xml:space="preserve">99558645</t>
  </si>
  <si>
    <t xml:space="preserve">2026-08-18</t>
  </si>
  <si>
    <t xml:space="preserve">66320GALMONT MORRISTOWN RD,OH, OH</t>
  </si>
  <si>
    <t xml:space="preserve">99415804</t>
  </si>
  <si>
    <t xml:space="preserve">22 OLD FORGE ROAD JONESTOWN,PA, PA</t>
  </si>
  <si>
    <t xml:space="preserve">99193164</t>
  </si>
  <si>
    <t xml:space="preserve">2026-08-21</t>
  </si>
  <si>
    <t xml:space="preserve">STEELE STATION RD STEELE,AL, AL</t>
  </si>
  <si>
    <t xml:space="preserve">99356279</t>
  </si>
  <si>
    <t xml:space="preserve">P.OBOX 1201 LULING,TX, TX</t>
  </si>
  <si>
    <t xml:space="preserve">99090868</t>
  </si>
  <si>
    <t xml:space="preserve">1845295</t>
  </si>
  <si>
    <t xml:space="preserve">2615WC-48 BUSHNELL,FL, FL</t>
  </si>
  <si>
    <t xml:space="preserve">1045960</t>
  </si>
  <si>
    <t xml:space="preserve">2510HWY 231 COTTONDALE,FL, FL</t>
  </si>
  <si>
    <t xml:space="preserve">2466361</t>
  </si>
  <si>
    <t xml:space="preserve">I-75&amp; SOUTHWELL BULEVARD TIFTO, GA</t>
  </si>
  <si>
    <t xml:space="preserve">99389982</t>
  </si>
  <si>
    <t xml:space="preserve">2026-08-25</t>
  </si>
  <si>
    <t xml:space="preserve">6138LAKE NORRIS ROAD LAKE MS, MS</t>
  </si>
  <si>
    <t xml:space="preserve">99554605</t>
  </si>
  <si>
    <t xml:space="preserve">2026-08-26</t>
  </si>
  <si>
    <t xml:space="preserve">1848853</t>
  </si>
  <si>
    <t xml:space="preserve">99530579</t>
  </si>
  <si>
    <t xml:space="preserve">16101HWY84 EVERGREEN,AL, AL</t>
  </si>
  <si>
    <t xml:space="preserve">99222422</t>
  </si>
  <si>
    <t xml:space="preserve">7561MESOPOTAMIA STREET EUTAW,, AL</t>
  </si>
  <si>
    <t xml:space="preserve">99906385</t>
  </si>
  <si>
    <t xml:space="preserve">239BYKIN DRIVE MENOHIS,TX, TX</t>
  </si>
  <si>
    <t xml:space="preserve">1515248</t>
  </si>
  <si>
    <t xml:space="preserve">1101UNIROYAL DRIVE LAREDO,TX, TX</t>
  </si>
  <si>
    <t xml:space="preserve">6610677</t>
  </si>
  <si>
    <t xml:space="preserve">1001EL MORO RD TRINIDAD,CO, CO</t>
  </si>
  <si>
    <t xml:space="preserve">2244651</t>
  </si>
  <si>
    <t xml:space="preserve">LOVES 471 NATALIA,TX, TX</t>
  </si>
  <si>
    <t xml:space="preserve">2882806</t>
  </si>
  <si>
    <t xml:space="preserve">265 Opportunity Way, Gretna,FL, FL</t>
  </si>
  <si>
    <t xml:space="preserve">2247170</t>
  </si>
  <si>
    <t xml:space="preserve">200 S Kings Hwy, Fort Pierce, FL</t>
  </si>
  <si>
    <t xml:space="preserve">99579121</t>
  </si>
  <si>
    <t xml:space="preserve">200 S Kings Hwy, Fort Pierce,, FL</t>
  </si>
  <si>
    <t xml:space="preserve">99579865</t>
  </si>
  <si>
    <t xml:space="preserve">2026-08-28</t>
  </si>
  <si>
    <t xml:space="preserve">1500 Monticello Road, Madison, GA</t>
  </si>
  <si>
    <t xml:space="preserve">99739249</t>
  </si>
  <si>
    <t xml:space="preserve">1500 Monticello Road, Madison,, GA</t>
  </si>
  <si>
    <t xml:space="preserve">99739274</t>
  </si>
  <si>
    <t xml:space="preserve">2026-08-29</t>
  </si>
  <si>
    <t xml:space="preserve">99991607</t>
  </si>
  <si>
    <t xml:space="preserve">2024A WEST STREET VINTON,LA, LA</t>
  </si>
  <si>
    <t xml:space="preserve">99600966</t>
  </si>
  <si>
    <t xml:space="preserve">99530124</t>
  </si>
  <si>
    <t xml:space="preserve">2026-08-27</t>
  </si>
  <si>
    <t xml:space="preserve">99460605</t>
  </si>
  <si>
    <t xml:space="preserve">2026-08-31</t>
  </si>
  <si>
    <t xml:space="preserve">99794138</t>
  </si>
  <si>
    <t xml:space="preserve">2026-09-29</t>
  </si>
  <si>
    <t xml:space="preserve">99462408</t>
  </si>
  <si>
    <t xml:space="preserve">99988777</t>
  </si>
  <si>
    <t xml:space="preserve">99530096</t>
  </si>
  <si>
    <t xml:space="preserve">2024A WEST STREET VINTON LA, LA</t>
  </si>
  <si>
    <t xml:space="preserve">99600926</t>
  </si>
  <si>
    <t xml:space="preserve">1217TROLLINGWOOD HAWFIELDS RD, NC</t>
  </si>
  <si>
    <t xml:space="preserve">2051327</t>
  </si>
  <si>
    <t xml:space="preserve">1127TYSON ROAD HOPE HULL,AL, AL</t>
  </si>
  <si>
    <t xml:space="preserve">99037285</t>
  </si>
  <si>
    <t xml:space="preserve">612PODERSON ROAD KATY TX, TX</t>
  </si>
  <si>
    <t xml:space="preserve">99110970</t>
  </si>
  <si>
    <t xml:space="preserve">99530416</t>
  </si>
  <si>
    <t xml:space="preserve">7495SMITH ROAD, TX</t>
  </si>
  <si>
    <t xml:space="preserve">99610138</t>
  </si>
  <si>
    <t xml:space="preserve">99461047</t>
  </si>
  <si>
    <t xml:space="preserve">2026-08-30</t>
  </si>
  <si>
    <t xml:space="preserve">99418769</t>
  </si>
  <si>
    <t xml:space="preserve">182CLAIRBONE ROAD SANDERSVILLE, MS</t>
  </si>
  <si>
    <t xml:space="preserve">99496951</t>
  </si>
  <si>
    <t xml:space="preserve">182CLAIBORNE ROAD, MS</t>
  </si>
  <si>
    <t xml:space="preserve">99493735</t>
  </si>
  <si>
    <t xml:space="preserve">I-81EXIT24 MEADOWVIEW,VA, VA</t>
  </si>
  <si>
    <t xml:space="preserve">99440842</t>
  </si>
  <si>
    <t xml:space="preserve">2050HWY70E JACKSON,TN, TN</t>
  </si>
  <si>
    <t xml:space="preserve">99478043</t>
  </si>
  <si>
    <t xml:space="preserve">2026-09-01</t>
  </si>
  <si>
    <t xml:space="preserve">2500SIH-45 HUTCHINS,TX, TX</t>
  </si>
  <si>
    <t xml:space="preserve">99378673</t>
  </si>
  <si>
    <t xml:space="preserve">1922974</t>
  </si>
  <si>
    <t xml:space="preserve">99530122</t>
  </si>
  <si>
    <t xml:space="preserve">LOVES 453, LA</t>
  </si>
  <si>
    <t xml:space="preserve">99349841</t>
  </si>
  <si>
    <t xml:space="preserve">23073NUS HWY 27 MOORE HAVEN,FL, FL</t>
  </si>
  <si>
    <t xml:space="preserve">99432652</t>
  </si>
  <si>
    <t xml:space="preserve">66595WODSWORTH PKWY MANDEVILLE, LA</t>
  </si>
  <si>
    <t xml:space="preserve">99143243</t>
  </si>
  <si>
    <t xml:space="preserve">2026-09-02</t>
  </si>
  <si>
    <t xml:space="preserve">99535609</t>
  </si>
  <si>
    <t xml:space="preserve">99602755</t>
  </si>
  <si>
    <t xml:space="preserve">1624BEAR CREEKPIKE COLUMBIA TN, TN</t>
  </si>
  <si>
    <t xml:space="preserve">99912182</t>
  </si>
  <si>
    <t xml:space="preserve">LOVES 323, IN</t>
  </si>
  <si>
    <t xml:space="preserve">99294159</t>
  </si>
  <si>
    <t xml:space="preserve">2461EMARSHALL ST CHARLESTON,MO, MO</t>
  </si>
  <si>
    <t xml:space="preserve">99264204</t>
  </si>
  <si>
    <t xml:space="preserve">1010N.MAIN PALESTINE,AR, AR</t>
  </si>
  <si>
    <t xml:space="preserve">99114360</t>
  </si>
  <si>
    <t xml:space="preserve">3158WIH-10SEGUIN,TX, TX</t>
  </si>
  <si>
    <t xml:space="preserve">99407649</t>
  </si>
  <si>
    <t xml:space="preserve">2886913</t>
  </si>
  <si>
    <t xml:space="preserve">612PADERSON ROAD KATY,TX, TX</t>
  </si>
  <si>
    <t xml:space="preserve">1644390</t>
  </si>
  <si>
    <t xml:space="preserve">1621BASSCROSS RD HOGANSVILLE, GA</t>
  </si>
  <si>
    <t xml:space="preserve">99645028</t>
  </si>
  <si>
    <t xml:space="preserve">99143295</t>
  </si>
  <si>
    <t xml:space="preserve">PAY LINES — ADDITIONAL PAY · REIMBURSED · DEDUCTIONS</t>
  </si>
  <si>
    <t xml:space="preserve">Escrow is $25.00 PER LOAD. 58 lines across the 37, every one exactly -25.00.</t>
  </si>
  <si>
    <t xml:space="preserve">Section</t>
  </si>
  <si>
    <t xml:space="preserve">Description</t>
  </si>
  <si>
    <t xml:space="preserve">Additional Pay</t>
  </si>
  <si>
    <t xml:space="preserve">Driver Pay-Desenlonada</t>
  </si>
  <si>
    <t xml:space="preserve">Driver Pay-Enlonada</t>
  </si>
  <si>
    <t xml:space="preserve">Deductions</t>
  </si>
  <si>
    <t xml:space="preserve">2026-07-28 - Admin fee - GAS</t>
  </si>
  <si>
    <t xml:space="preserve">2026-08-03 - Driver-Escrow For Claims - Driver-Escrow For Claims</t>
  </si>
  <si>
    <t xml:space="preserve">Driver Pay-Bonus FEE POR TRANSFERENCIA</t>
  </si>
  <si>
    <t xml:space="preserve">2026-08-03 - Admin fee - GAS</t>
  </si>
  <si>
    <t xml:space="preserve">2026-07-31 - CASH ADVANCE WIRE TRANSFER - CASH ADVANCE WIRE TRANSFER</t>
  </si>
  <si>
    <t xml:space="preserve">Reimbursed Expenses</t>
  </si>
  <si>
    <t xml:space="preserve">LOVES Driver Reimbursement-TPE-Scale Expense</t>
  </si>
  <si>
    <t xml:space="preserve">INDIANA TOLL ROAD INDIANA TOLL ROAD</t>
  </si>
  <si>
    <t xml:space="preserve">loves FEE ITEM</t>
  </si>
  <si>
    <t xml:space="preserve">SOAKERZ Reefer Trailer-Washout Expense</t>
  </si>
  <si>
    <t xml:space="preserve">CONTINENTAL FORWARDING Warehouse-Lumper Fee Expense</t>
  </si>
  <si>
    <t xml:space="preserve">BLUE BEACON Reefer Trailer-Washout Expense</t>
  </si>
  <si>
    <t xml:space="preserve">Driver Pay-Bonus BONO POR CONTRATACION 1/4</t>
  </si>
  <si>
    <t xml:space="preserve">2026-08-04 - Driver-Escrow For Claims - Driver-Escrow For Claims</t>
  </si>
  <si>
    <t xml:space="preserve">2026-08-04 - Admin fee - GAS</t>
  </si>
  <si>
    <t xml:space="preserve">2026-08-04 - CASH ADVANCE WIRE TRANSFER - CASH ADVANCE WIRE TRANSFER</t>
  </si>
  <si>
    <t xml:space="preserve">LOVES Driver Reimbursement-Fuel-Def</t>
  </si>
  <si>
    <t xml:space="preserve">2026-08-06 - Driver-Escrow For Claims - Driver-Escrow For Claims</t>
  </si>
  <si>
    <t xml:space="preserve">2026-08-06 - Admin fee - GAS</t>
  </si>
  <si>
    <t xml:space="preserve">Driver Pay-Extra Delivery/Drop</t>
  </si>
  <si>
    <t xml:space="preserve">2026-08-12 - Driver-Escrow For Claims - Driver-Escrow For Claims</t>
  </si>
  <si>
    <t xml:space="preserve">2026-08-12 - Admin fee - GAS</t>
  </si>
  <si>
    <t xml:space="preserve">2026-08-12 - Admin fee - Gas</t>
  </si>
  <si>
    <t xml:space="preserve">Driver Pay-Bono por Contratatacion 1/4</t>
  </si>
  <si>
    <t xml:space="preserve">Driver Pay-Layover-Estancia 8y9 de agosto</t>
  </si>
  <si>
    <t xml:space="preserve">2026-08-13 - Driver-Escrow For Claims - Driver-Escrow For Claims</t>
  </si>
  <si>
    <t xml:space="preserve">2026-08-01 - Cash Advance-Check - Cash Advance-Check EFS</t>
  </si>
  <si>
    <t xml:space="preserve">2026-08-13 - Admin fee - GAS</t>
  </si>
  <si>
    <t xml:space="preserve">CAT SCALE Driver Reimbursement-TPE-Scale Expense</t>
  </si>
  <si>
    <t xml:space="preserve">2026-08-14 - Driver-Escrow For Claims - Driver-Escrow For Claims</t>
  </si>
  <si>
    <t xml:space="preserve">2026-08-14 - Admin fee - GAS</t>
  </si>
  <si>
    <t xml:space="preserve">FUEL AMERICA Fuel-Reefer Diesel</t>
  </si>
  <si>
    <t xml:space="preserve">THORNTON Fuel-Reefer Diesel</t>
  </si>
  <si>
    <t xml:space="preserve">Driver Pay-Layover-Estancia 8 y 9 de Agosto</t>
  </si>
  <si>
    <t xml:space="preserve">Driver Pay-Bono por Contratacion 1/4</t>
  </si>
  <si>
    <t xml:space="preserve">2026-08-05 - CASH ADVANCE WIRE TRANSFER - CASH ADVANCE WIRE TRANSFER</t>
  </si>
  <si>
    <t xml:space="preserve">Driver Pay-Layover-Estancia 5-6-7-8 DE AGOSTO</t>
  </si>
  <si>
    <t xml:space="preserve">VALERO Driver Reimbursement-TPE-Scale Expense</t>
  </si>
  <si>
    <t xml:space="preserve">2026-08-17 - Admin fee - GAS</t>
  </si>
  <si>
    <t xml:space="preserve">Driver Pay-Layover-Estancia 10Y11 DE AGOSTO</t>
  </si>
  <si>
    <t xml:space="preserve">2026-08-17 - Driver-Escrow For Claims - Driver-Escrow For Claims</t>
  </si>
  <si>
    <t xml:space="preserve">2026-08-17 - Admin fee -</t>
  </si>
  <si>
    <t xml:space="preserve">2026-08-15 - CASH ADVANCE WIRE TRANSFER - CASH ADVANCE WIRE TRANSFER</t>
  </si>
  <si>
    <t xml:space="preserve">Driver Pay-Bonus 60 MILLAS EXTRA X.45 CENTAVOS</t>
  </si>
  <si>
    <t xml:space="preserve">2026-08-20 - Driver-Escrow For Claims - Driver-Escrow For Claims</t>
  </si>
  <si>
    <t xml:space="preserve">2026-08-20 - Admin fee - GAS</t>
  </si>
  <si>
    <t xml:space="preserve">2026-08-21 - Driver-Escrow For Claims - Driver-Escrow For Claims</t>
  </si>
  <si>
    <t xml:space="preserve">2026-08-21 - Admin fee - GAS</t>
  </si>
  <si>
    <t xml:space="preserve">Driver Pay-Layover-Estancia 21 de Agosto</t>
  </si>
  <si>
    <t xml:space="preserve">2026-08-24 - Driver-Escrow For Claims - Driver-Escrow For Claims</t>
  </si>
  <si>
    <t xml:space="preserve">2026-08-24 - Admin fee - GAS</t>
  </si>
  <si>
    <t xml:space="preserve">2026-08-24 - Admin fee - BASCULA PAGADA EN VIAJE PASADO</t>
  </si>
  <si>
    <t xml:space="preserve">TYSON LUMPER VIAJE PASADO</t>
  </si>
  <si>
    <t xml:space="preserve">Driver Pay-Enlonada- EDISON, NJ</t>
  </si>
  <si>
    <t xml:space="preserve">Driver Pay-Desenlonada- BAYTOWN, TX</t>
  </si>
  <si>
    <t xml:space="preserve">Driver Pay-Enlonada - BAYTOWN, TX</t>
  </si>
  <si>
    <t xml:space="preserve">Driver Pay-Desenlonada - Houston, TX</t>
  </si>
  <si>
    <t xml:space="preserve">2026-08-25 - Admin fee - GAS</t>
  </si>
  <si>
    <t xml:space="preserve">2026-08-25 - Driver-Escrow For Claims - Driver-Escrow For Claims</t>
  </si>
  <si>
    <t xml:space="preserve">FUEL AMERICA WASHOUT TRUCK-171</t>
  </si>
  <si>
    <t xml:space="preserve">Driver Pay-Layover-Estancia 22,23y24 de Agosto</t>
  </si>
  <si>
    <t xml:space="preserve">2026-08-26 - Driver-Escrow For Claims - Driver-Escrow For Claims</t>
  </si>
  <si>
    <t xml:space="preserve">2026-08-18 - CASH ADVANCE WIRE TRANSFER - CASH ADVANCE WIRE TRANSFER</t>
  </si>
  <si>
    <t xml:space="preserve">2026-08-26 - Admin fee - GAS</t>
  </si>
  <si>
    <t xml:space="preserve">Warehouse-Lumper Fee Expense COBRO POR ENTRAR A DESCARGA</t>
  </si>
  <si>
    <t xml:space="preserve">Driver Pay-Layover-Estancia 22,23,24 De Agosto</t>
  </si>
  <si>
    <t xml:space="preserve">2026-08-28 - Driver-Escrow For Claims - Driver-Escrow For Claims</t>
  </si>
  <si>
    <t xml:space="preserve">2026-08-24 - CASH ADVANCE WIRE TRANSFER - CASH ADVANCE WIRE TRANSFER</t>
  </si>
  <si>
    <t xml:space="preserve">2026-08-28 - Admin fee - GAS</t>
  </si>
  <si>
    <t xml:space="preserve">FLYING Bridge &amp; Toll Expenses:OTR-Parking Expense</t>
  </si>
  <si>
    <t xml:space="preserve">2026-08-31 - Driver-Escrow For Claims - Driver-Escrow For Claims</t>
  </si>
  <si>
    <t xml:space="preserve">2026-08-24 - Admin fee - PAGO DE TELEFONO PERSONAL</t>
  </si>
  <si>
    <t xml:space="preserve">2026-08-25 - CASH ADVANCE WIRE TRANSFER - CASH ADVANCE WIRE TRANSFER</t>
  </si>
  <si>
    <t xml:space="preserve">2026-08-31 - Admin fee - Gas</t>
  </si>
  <si>
    <t xml:space="preserve">2026-09-01 - Admin fee - Gas</t>
  </si>
  <si>
    <t xml:space="preserve">2026-09-01 - Driver-Escrow For Claims - Driver-Escrow For Claims</t>
  </si>
  <si>
    <t xml:space="preserve">2026-09-01 - Admin fee - GAS</t>
  </si>
  <si>
    <t xml:space="preserve">2026-09-02 - Driver-Escrow For Claims - Driver-Escrow For Claims</t>
  </si>
  <si>
    <t xml:space="preserve">2026-09-02 - Admin fee - GAS</t>
  </si>
  <si>
    <t xml:space="preserve">2026-09-02 - Admin fee - VUELO</t>
  </si>
  <si>
    <t xml:space="preserve">Driver Pay-Layover-Estancia 29y30 de Agosto</t>
  </si>
  <si>
    <t xml:space="preserve">2026-09-03 - Admin fee - GAS</t>
  </si>
  <si>
    <t xml:space="preserve">PENSION BELEN Parking Expense</t>
  </si>
  <si>
    <t xml:space="preserve">2026-09-04 - Driver-Escrow For Claims - Driver-Escrow For Claims</t>
  </si>
  <si>
    <t xml:space="preserve">2026-09-04 - Admin fee - GAS</t>
  </si>
  <si>
    <t xml:space="preserve">LOVES 1ASC ''19 PREMIUM</t>
  </si>
  <si>
    <t xml:space="preserve">LOVES Reefer Trailer-Washout Expense</t>
  </si>
  <si>
    <t xml:space="preserve">2026-09-03 - Driver-Escrow For Claims - Driver-Escrow For Claims</t>
  </si>
  <si>
    <t xml:space="preserve">2026-09-03 - CASH ADVANCE WIRE TRANSFER - CASH ADVANCE WIRE TRANSFER</t>
  </si>
  <si>
    <t xml:space="preserve">LEG MILES — 229 LEGS</t>
  </si>
  <si>
    <t xml:space="preserve">The distance printed on a stop line is the distance travelled TO REACH that stop. mdata.load_stops has no mileage column today.</t>
  </si>
  <si>
    <t xml:space="preserve">Seq</t>
  </si>
  <si>
    <t xml:space="preserve">Stop type</t>
  </si>
  <si>
    <t xml:space="preserve">Leg miles (doc)</t>
  </si>
  <si>
    <t xml:space="preserve">Miles are</t>
  </si>
  <si>
    <t xml:space="preserve">Leg miles (system)</t>
  </si>
  <si>
    <t xml:space="preserve">Empty</t>
  </si>
  <si>
    <t xml:space="preserve">2026-07-24</t>
  </si>
  <si>
    <t xml:space="preserve">Global Manufacturing, Inc, EDISON, NJ 08817</t>
  </si>
  <si>
    <t xml:space="preserve">start of leg, no miles</t>
  </si>
  <si>
    <t xml:space="preserve">Pickup</t>
  </si>
  <si>
    <t xml:space="preserve">Amerinox / Gulf of Northern, Camden, NJ 08104</t>
  </si>
  <si>
    <t xml:space="preserve">EMPTY — to the load</t>
  </si>
  <si>
    <t xml:space="preserve">Deliver</t>
  </si>
  <si>
    <t xml:space="preserve">Rpr Products Inc, Houston, TX 77018</t>
  </si>
  <si>
    <t xml:space="preserve">LOADED</t>
  </si>
  <si>
    <t xml:space="preserve">EBT Yard, Laredo, TX 78045</t>
  </si>
  <si>
    <t xml:space="preserve">EMPTY — run home</t>
  </si>
  <si>
    <t xml:space="preserve">Semares, Laredo, TX 78040</t>
  </si>
  <si>
    <t xml:space="preserve">EBG LOGISTICS LLC, LAREDO, TX 78045</t>
  </si>
  <si>
    <t xml:space="preserve">ODW DC12, GROVEPORT, OH 43125</t>
  </si>
  <si>
    <t xml:space="preserve">BRWY-- Columbus, COLUMBUS, OH 43229</t>
  </si>
  <si>
    <t xml:space="preserve">DC-- La Porte Dc, LA PORTE, TX 77571</t>
  </si>
  <si>
    <t xml:space="preserve">MRIOS, LAREDO, TX 78045</t>
  </si>
  <si>
    <t xml:space="preserve">BENCHAMARK EDUCATION, GROVEPORT, OH 43125</t>
  </si>
  <si>
    <t xml:space="preserve">Clemens Food Group, ColdWater, MI 49036</t>
  </si>
  <si>
    <t xml:space="preserve">Continental Forwarding, Laredo, TX 78045</t>
  </si>
  <si>
    <t xml:space="preserve">Manitowoc Dc, Manitowoc, WI 54220</t>
  </si>
  <si>
    <t xml:space="preserve">Smithfield Farmland Fresh, Mounmouth, IL 61462</t>
  </si>
  <si>
    <t xml:space="preserve">Palos Garza, Laredo, TX 78045</t>
  </si>
  <si>
    <t xml:space="preserve">GAB Operations LLC, Laredo, TX 78045</t>
  </si>
  <si>
    <t xml:space="preserve">BLUE &amp; SONS, CHICAGO, IL 60628</t>
  </si>
  <si>
    <t xml:space="preserve">Rantoul Foods, Rantoul, IL 61866</t>
  </si>
  <si>
    <t xml:space="preserve">Laredo Cold Storage, laredo, TX 78045</t>
  </si>
  <si>
    <t xml:space="preserve">METLIFE STADIUM, EAST RUTHERFORD, NJ 07073</t>
  </si>
  <si>
    <t xml:space="preserve">Cota F1 Austin, Austin, TX 78617</t>
  </si>
  <si>
    <t xml:space="preserve">FREEZE PAK, BAYTOWN, TX 77523</t>
  </si>
  <si>
    <t xml:space="preserve">MAR-PAK WAREHOUSE, CALDWELL, OH 43724</t>
  </si>
  <si>
    <t xml:space="preserve">GENESIS CUSTOMER, ENNIS, TX 75119</t>
  </si>
  <si>
    <t xml:space="preserve">diesel global logistics, Laredo, TX 78045</t>
  </si>
  <si>
    <t xml:space="preserve">OEM Solutions Group - PARSONS L5-PARSONS, GOODFIELD, IL</t>
  </si>
  <si>
    <t xml:space="preserve">CATERPILLAR INC - TECH CENTER, MOSSVILLE, IL 61552</t>
  </si>
  <si>
    <t xml:space="preserve">Indian Packers, DELPHI, IN 46923</t>
  </si>
  <si>
    <t xml:space="preserve">VIMARECEIVER, LAREDO, TX 78045</t>
  </si>
  <si>
    <t xml:space="preserve">AL-COM INTERNATIONAL, LAREDO, TX 78045</t>
  </si>
  <si>
    <t xml:space="preserve">VALUE TRUCK, LAREDO, TX 78045</t>
  </si>
  <si>
    <t xml:space="preserve">Seko Logistics IN, PLAINFIELD, IN 46168</t>
  </si>
  <si>
    <t xml:space="preserve">Heartland Foods Campus, INDIANAPOLIS, IN 46268</t>
  </si>
  <si>
    <t xml:space="preserve">Imex Forwarding Agency, Laredo, TX 78045</t>
  </si>
  <si>
    <t xml:space="preserve">SAPA CRESSONA, CRESSONA, PA 17929</t>
  </si>
  <si>
    <t xml:space="preserve">Es Logistics, Laredo, TX 78045</t>
  </si>
  <si>
    <t xml:space="preserve">LBTIntermodal LLC, LINDEN, NJ 07036</t>
  </si>
  <si>
    <t xml:space="preserve">Depot Connect(Boasso), CHANNELVIEW, TX 77530</t>
  </si>
  <si>
    <t xml:space="preserve">Logan Aluminum, Inc. Recycling Center, RUSSELVILLE, KY 42276</t>
  </si>
  <si>
    <t xml:space="preserve">YODERS SAWMILL, MARION, KY 42064</t>
  </si>
  <si>
    <t xml:space="preserve">COUNTRY SIDE PALLET, DRAKESVILLE, IA 52552</t>
  </si>
  <si>
    <t xml:space="preserve">FEDERAL INTERNATIONAL, MARYLAND HEIGHTS, MO 63043</t>
  </si>
  <si>
    <t xml:space="preserve">Green Fiber, WACO, TX 76707</t>
  </si>
  <si>
    <t xml:space="preserve">Self c/o East Penn, CARROLTON, TX 75006</t>
  </si>
  <si>
    <t xml:space="preserve">Hinojosa Calzado, LTD, LAREDO, TX 78045</t>
  </si>
  <si>
    <t xml:space="preserve">2026-07-03</t>
  </si>
  <si>
    <t xml:space="preserve">NEWBRICK 200, NORTH KINGSTOWN, RI 02852</t>
  </si>
  <si>
    <t xml:space="preserve">2026-07-07</t>
  </si>
  <si>
    <t xml:space="preserve">US Beverage Packers LLC, Keasbey, NJ 08832</t>
  </si>
  <si>
    <t xml:space="preserve">Walgreens, Waxahachie, TX 75165</t>
  </si>
  <si>
    <t xml:space="preserve">US COLD MINES, LAREDO, TX 78045</t>
  </si>
  <si>
    <t xml:space="preserve">TRADE JOE'S KENTUCKY, FRANKLIN, KY 42134</t>
  </si>
  <si>
    <t xml:space="preserve">Americold, LOUISVILLE, KY 40208</t>
  </si>
  <si>
    <t xml:space="preserve">Sr Forwarding, Laredo, TX 78045</t>
  </si>
  <si>
    <t xml:space="preserve">Dr Ikes True Value, Laedo, TX 78040</t>
  </si>
  <si>
    <t xml:space="preserve">G D Trucking, COAL CITY, IL 60416</t>
  </si>
  <si>
    <t xml:space="preserve">ARDBUWI - ARDAGH GLASS INC. BURLINGTON, BURLINGTON, WI</t>
  </si>
  <si>
    <t xml:space="preserve">BUSHOTX2 - BUSKE #2 WAREHOUSE, HOUSTON, TX 77029</t>
  </si>
  <si>
    <t xml:space="preserve">QUANTIX SCS, BAYTOWN, TX 77523</t>
  </si>
  <si>
    <t xml:space="preserve">Cavazos Forwarding, LAREDO, TX 78045</t>
  </si>
  <si>
    <t xml:space="preserve">Mexus, Laredo, TX 78040</t>
  </si>
  <si>
    <t xml:space="preserve">GENERAL GOODS, ARLINGTON, TX 76011</t>
  </si>
  <si>
    <t xml:space="preserve">O'Reilly Auto Parts, SEAGOVILLE, TX 75159</t>
  </si>
  <si>
    <t xml:space="preserve">E. Hinojosa Calzado, LTD, LAREDO, TX 78045</t>
  </si>
  <si>
    <t xml:space="preserve">GENERAL GOODS, JOLIET, IL 60431</t>
  </si>
  <si>
    <t xml:space="preserve">HERC RENTALS, MANASSAS, VA 20109</t>
  </si>
  <si>
    <t xml:space="preserve">HERC RENTALS, CORPUS CHRISTI, TX 78408</t>
  </si>
  <si>
    <t xml:space="preserve">PERFETTI, ERLANGER, KY 41018</t>
  </si>
  <si>
    <t xml:space="preserve">TYSON FRESH STORM LAKE 054, Storm Lake, IA 50588</t>
  </si>
  <si>
    <t xml:space="preserve">Grupo Comercio Mundial Inc / Servicios Aduaneros del Norte, Laredo,</t>
  </si>
  <si>
    <t xml:space="preserve">Cold Chain Solutions, Laredo, TX 78045</t>
  </si>
  <si>
    <t xml:space="preserve">STEERE ENTERPRISES, TALLMADGE, OH 44278</t>
  </si>
  <si>
    <t xml:space="preserve">ALERIS/IMCO/COMMONWEALTH ALUMINUM, Uhrichsville, OH 44683</t>
  </si>
  <si>
    <t xml:space="preserve">SENOX RENTAL, MESQUITE, TX 75149</t>
  </si>
  <si>
    <t xml:space="preserve">Mexus Cold Storage, Laredo, TX 78045</t>
  </si>
  <si>
    <t xml:space="preserve">Freedman Distribuitors, Houston, TX 77021</t>
  </si>
  <si>
    <t xml:space="preserve">Sanderson - Palestine, PALESTINE, TX 75803</t>
  </si>
  <si>
    <t xml:space="preserve">SR Forwading, LAREDO, TX 78045</t>
  </si>
  <si>
    <t xml:space="preserve">Mission Produce Distribution, LAREDO, TX 78045</t>
  </si>
  <si>
    <t xml:space="preserve">Aldi Salisbury, Salisbury, NC 28146</t>
  </si>
  <si>
    <t xml:space="preserve">Vertical Cold Storage, MARSHVILLE, NC 28103</t>
  </si>
  <si>
    <t xml:space="preserve">Mastronardi Produce, LAREDO, TX 78045</t>
  </si>
  <si>
    <t xml:space="preserve">Aldi Petersburg, PETERSBURG, VA 23803</t>
  </si>
  <si>
    <t xml:space="preserve">Smithfield Foods Inc Clinton, CLINTON, NC 28328</t>
  </si>
  <si>
    <t xml:space="preserve">MS World Wide, Laredo, TX 78045</t>
  </si>
  <si>
    <t xml:space="preserve">MSI NEW JERSEY, EDISON, NJ 08817</t>
  </si>
  <si>
    <t xml:space="preserve">MSI BAYTOWN, BAYTOWN, TX 77523</t>
  </si>
  <si>
    <t xml:space="preserve">MSI Houston, Houston, TX 77039</t>
  </si>
  <si>
    <t xml:space="preserve">AUSA SOURCE LOGISTICS LAREDO, LAREDO, TX 78045</t>
  </si>
  <si>
    <t xml:space="preserve">Family Dollar Store 9580, MOREHEAD, KY 40351</t>
  </si>
  <si>
    <t xml:space="preserve">JTM food Group, harrison, OH 45030</t>
  </si>
  <si>
    <t xml:space="preserve">Food and Nutrition Warehouse, COCKEYSVILLE, MD 21030</t>
  </si>
  <si>
    <t xml:space="preserve">United Source One, BELCAMP, MD 21017</t>
  </si>
  <si>
    <t xml:space="preserve">RUSH TOWN POULTRY, JONESTOWN, PA 17038</t>
  </si>
  <si>
    <t xml:space="preserve">NEST FRESH TEXAS CUERO, CUERTO, TX 77954</t>
  </si>
  <si>
    <t xml:space="preserve">Metafoods, LLC/ Freezpack Logistics, Hialeah, FL 33018</t>
  </si>
  <si>
    <t xml:space="preserve">Feek Family, FORT PIERCE, FL 34945</t>
  </si>
  <si>
    <t xml:space="preserve">JVL, PLANT CITY, FL 33565</t>
  </si>
  <si>
    <t xml:space="preserve">Mountain Tomato, FOREST PARK, GA 30297</t>
  </si>
  <si>
    <t xml:space="preserve">AMERICOLD, ALBERTIVILLE, AL 35950</t>
  </si>
  <si>
    <t xml:space="preserve">Performance Food Group, Temple, TX 76504</t>
  </si>
  <si>
    <t xml:space="preserve">F and S Fresh Foods, CONLEY, GA 30288</t>
  </si>
  <si>
    <t xml:space="preserve">PILGRIM'S PRIDE CORPORATION AL, GUNTERSVILLE, AL 35976</t>
  </si>
  <si>
    <t xml:space="preserve">MS WORLDWIDE, LAREDO, TX 78045</t>
  </si>
  <si>
    <t xml:space="preserve">Kroger - Peytons Fountain, Fountain, CO 80817</t>
  </si>
  <si>
    <t xml:space="preserve">SAFEWAY, INC. - SAFEWAY, INC., DENVER, CO 80216</t>
  </si>
  <si>
    <t xml:space="preserve">SAFEWAY, INC. - SAFEWAY, INC., ROANOKE, TX 76262</t>
  </si>
  <si>
    <t xml:space="preserve">2EMS TRANSPORTATION, LAREDO, TX 78045</t>
  </si>
  <si>
    <t xml:space="preserve">Cold Chain, Nuevo Laredo, Tam. 88299</t>
  </si>
  <si>
    <t xml:space="preserve">Quirch Foods, Medley F, FL 33166</t>
  </si>
  <si>
    <t xml:space="preserve">VEGPRO INTERNATIONAL INC, BELLE GLADE, FL 33430</t>
  </si>
  <si>
    <t xml:space="preserve">PUBLIX PRODUCE WHS - GRB - 4511, MC LEANSVILLE, NC 27301</t>
  </si>
  <si>
    <t xml:space="preserve">PRESTAGE FAMRS, CAMDEN, SC 29020</t>
  </si>
  <si>
    <t xml:space="preserve">Elkton, ELKTON, MD 21921</t>
  </si>
  <si>
    <t xml:space="preserve">IRVING, IRVING, TX 75063</t>
  </si>
  <si>
    <t xml:space="preserve">APPLIED LAREDO YARD, LAREDO, TX 78045</t>
  </si>
  <si>
    <t xml:space="preserve">SUPERIOR CRANE, MORRISVILLE, NC 27560</t>
  </si>
  <si>
    <t xml:space="preserve">COMMSCOPE CATAWBA, CATTAWBA, NC 28609</t>
  </si>
  <si>
    <t xml:space="preserve">QUANTA JOINT TRENCH, HOUSTON, TX 77093</t>
  </si>
  <si>
    <t xml:space="preserve">Librado Pina Inc, Laredo, TX 78045</t>
  </si>
  <si>
    <t xml:space="preserve">Calavo New Jersey, SWEDESBORO, NJ 08085</t>
  </si>
  <si>
    <t xml:space="preserve">Congdon Hill Warehouse, MERTZTOWN, PA 19539</t>
  </si>
  <si>
    <t xml:space="preserve">Houston Distributing Company, HOUSTON, TX 77066</t>
  </si>
  <si>
    <t xml:space="preserve">Calavo Growers Inc, Swedesboro, NJ 08085</t>
  </si>
  <si>
    <t xml:space="preserve">Johanna Foods/Tree Top, Flemington, NJ 08822</t>
  </si>
  <si>
    <t xml:space="preserve">WAL MART (TEXAS) - LANCASTER, LANCASTER, TX 75146</t>
  </si>
  <si>
    <t xml:space="preserve">United States Cold Storage, Forth Worth, TX 76106</t>
  </si>
  <si>
    <t xml:space="preserve">Longhorn Warehouse, Inc, Laredo, TX 78045</t>
  </si>
  <si>
    <t xml:space="preserve">TLA LOGISTICS, MEDLEY, FL 33178</t>
  </si>
  <si>
    <t xml:space="preserve">US SUGARS, CLEWISTON, FL 33440</t>
  </si>
  <si>
    <t xml:space="preserve">WESTLAKE FOODS INC., HOUSTON, TX 77004</t>
  </si>
  <si>
    <t xml:space="preserve">2026-09-03</t>
  </si>
  <si>
    <t xml:space="preserve">Castellini Company, LLC, WILDER, KY 41076</t>
  </si>
  <si>
    <t xml:space="preserve">Clemens, Coldwater, MI 49036</t>
  </si>
  <si>
    <t xml:space="preserve">Pacific Start -MS worldwide logistics, Laredo, TX 78045</t>
  </si>
  <si>
    <t xml:space="preserve">marjac poultry, GAINSVILLE, GA 30501</t>
  </si>
  <si>
    <t xml:space="preserve">ESQUIVELS FORWARDING, LAREDO, TX 78045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</si>
</sst>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.0"/>
    <numFmt numFmtId="167" formatCode="0.00%"/>
    <numFmt numFmtId="168" formatCode="#,##0.0000"/>
    <numFmt numFmtId="169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4314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4314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2F6"/>
        <bgColor rgb="FFF4F7FA"/>
      </patternFill>
    </fill>
    <fill>
      <patternFill patternType="solid">
        <fgColor rgb="FFF4F7FA"/>
        <bgColor rgb="FFEEF2F6"/>
      </patternFill>
    </fill>
    <fill>
      <patternFill patternType="solid">
        <fgColor rgb="FFFFF9E6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C"/>
      </left>
      <right style="thin">
        <color rgb="FFC7D2DC"/>
      </right>
      <top style="thin">
        <color rgb="FFC7D2DC"/>
      </top>
      <bottom style="thin">
        <color rgb="FFC7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EEF2F6"/>
          <bgColor rgb="FF000000"/>
        </patternFill>
      </fill>
    </dxf>
    <dxf>
      <fill>
        <patternFill patternType="solid">
          <fgColor rgb="FFF4F7FA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991B1B"/>
        <sz val="10"/>
      </font>
    </dxf>
  </dxfs>
  <colors>
    <indexedColors>
      <rgbColor rgb="FF000000"/>
      <rgbColor rgb="FFF4F7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EF2F6"/>
      <rgbColor rgb="FF660066"/>
      <rgbColor rgb="FFFF8080"/>
      <rgbColor rgb="FF0066CC"/>
      <rgbColor rgb="FFC7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4314F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 t="s">
        <v>25</v>
      </c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3" t="s">
        <v>27</v>
      </c>
    </row>
    <row r="37" customFormat="false" ht="15" hidden="false" customHeight="false" outlineLevel="0" collapsed="false">
      <c r="A37" s="2" t="s">
        <v>28</v>
      </c>
    </row>
    <row r="38" customFormat="false" ht="15" hidden="false" customHeight="false" outlineLevel="0" collapsed="false">
      <c r="A38" s="2" t="s">
        <v>29</v>
      </c>
    </row>
    <row r="39" customFormat="false" ht="15" hidden="false" customHeight="false" outlineLevel="0" collapsed="false">
      <c r="A39" s="2" t="s">
        <v>30</v>
      </c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3" t="s">
        <v>31</v>
      </c>
    </row>
    <row r="42" customFormat="false" ht="15" hidden="false" customHeight="false" outlineLevel="0" collapsed="false">
      <c r="A42" s="2" t="s">
        <v>32</v>
      </c>
    </row>
    <row r="43" customFormat="false" ht="15" hidden="false" customHeight="false" outlineLevel="0" collapsed="false">
      <c r="A43" s="2" t="s">
        <v>33</v>
      </c>
    </row>
    <row r="44" customFormat="false" ht="15" hidden="false" customHeight="false" outlineLevel="0" collapsed="false">
      <c r="A44" s="2" t="s">
        <v>34</v>
      </c>
    </row>
    <row r="45" customFormat="false" ht="15" hidden="false" customHeight="false" outlineLevel="0" collapsed="false">
      <c r="A45" s="2" t="s">
        <v>35</v>
      </c>
    </row>
    <row r="46" customFormat="false" ht="15" hidden="false" customHeight="false" outlineLevel="0" collapsed="false">
      <c r="A4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4" min="13" style="0" width="13"/>
    <col collapsed="false" customWidth="true" hidden="false" outlineLevel="0" max="15" min="15" style="0" width="10"/>
    <col collapsed="false" customWidth="true" hidden="false" outlineLevel="0" max="17" min="16" style="0" width="13"/>
    <col collapsed="false" customWidth="true" hidden="false" outlineLevel="0" max="18" min="18" style="0" width="10"/>
    <col collapsed="false" customWidth="true" hidden="false" outlineLevel="0" max="20" min="19" style="0" width="13"/>
    <col collapsed="false" customWidth="true" hidden="false" outlineLevel="0" max="21" min="21" style="0" width="10"/>
    <col collapsed="false" customWidth="true" hidden="false" outlineLevel="0" max="23" min="22" style="0" width="13"/>
    <col collapsed="false" customWidth="true" hidden="false" outlineLevel="0" max="24" min="24" style="0" width="10"/>
    <col collapsed="false" customWidth="true" hidden="false" outlineLevel="0" max="26" min="25" style="0" width="13"/>
    <col collapsed="false" customWidth="true" hidden="false" outlineLevel="0" max="27" min="27" style="0" width="10"/>
    <col collapsed="false" customWidth="true" hidden="false" outlineLevel="0" max="28" min="28" style="0" width="9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4" t="s">
        <v>38</v>
      </c>
    </row>
    <row r="4" customFormat="false" ht="31.5" hidden="false" customHeight="true" outlineLevel="0" collapsed="false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  <c r="K4" s="5" t="s">
        <v>49</v>
      </c>
      <c r="L4" s="5" t="s">
        <v>47</v>
      </c>
      <c r="M4" s="5" t="s">
        <v>50</v>
      </c>
      <c r="N4" s="5" t="s">
        <v>51</v>
      </c>
      <c r="O4" s="5" t="s">
        <v>47</v>
      </c>
      <c r="P4" s="5" t="s">
        <v>52</v>
      </c>
      <c r="Q4" s="5" t="s">
        <v>53</v>
      </c>
      <c r="R4" s="5" t="s">
        <v>47</v>
      </c>
      <c r="S4" s="5" t="s">
        <v>54</v>
      </c>
      <c r="T4" s="5" t="s">
        <v>55</v>
      </c>
      <c r="U4" s="5" t="s">
        <v>47</v>
      </c>
      <c r="V4" s="5" t="s">
        <v>56</v>
      </c>
      <c r="W4" s="5" t="s">
        <v>57</v>
      </c>
      <c r="X4" s="5" t="s">
        <v>47</v>
      </c>
      <c r="Y4" s="5" t="s">
        <v>58</v>
      </c>
      <c r="Z4" s="5" t="s">
        <v>59</v>
      </c>
      <c r="AA4" s="5" t="s">
        <v>47</v>
      </c>
      <c r="AB4" s="5" t="s">
        <v>60</v>
      </c>
    </row>
    <row r="5" customFormat="false" ht="15" hidden="false" customHeight="false" outlineLevel="0" collapsed="false">
      <c r="A5" s="6" t="n">
        <v>5753</v>
      </c>
      <c r="B5" s="7" t="s">
        <v>61</v>
      </c>
      <c r="C5" s="7" t="s">
        <v>62</v>
      </c>
      <c r="D5" s="7" t="s">
        <v>63</v>
      </c>
      <c r="E5" s="7" t="n">
        <v>2</v>
      </c>
      <c r="F5" s="7" t="n">
        <v>5</v>
      </c>
      <c r="G5" s="8" t="n">
        <v>8100</v>
      </c>
      <c r="H5" s="9"/>
      <c r="I5" s="10" t="str">
        <f aca="false">IF(H5="","",H5-G5)</f>
        <v/>
      </c>
      <c r="J5" s="8" t="n">
        <v>3491.92</v>
      </c>
      <c r="K5" s="9"/>
      <c r="L5" s="10" t="str">
        <f aca="false">IF(K5="","",K5-J5)</f>
        <v/>
      </c>
      <c r="M5" s="8" t="n">
        <v>1897.95</v>
      </c>
      <c r="N5" s="9"/>
      <c r="O5" s="10" t="str">
        <f aca="false">IF(N5="","",N5-M5)</f>
        <v/>
      </c>
      <c r="P5" s="8" t="n">
        <v>100</v>
      </c>
      <c r="Q5" s="9"/>
      <c r="R5" s="10" t="str">
        <f aca="false">IF(Q5="","",Q5-P5)</f>
        <v/>
      </c>
      <c r="S5" s="8"/>
      <c r="T5" s="9"/>
      <c r="U5" s="10" t="str">
        <f aca="false">IF(T5="","",T5-S5)</f>
        <v/>
      </c>
      <c r="V5" s="8" t="n">
        <v>-10</v>
      </c>
      <c r="W5" s="9"/>
      <c r="X5" s="10" t="str">
        <f aca="false">IF(W5="","",W5-V5)</f>
        <v/>
      </c>
      <c r="Y5" s="8" t="n">
        <v>1987.95</v>
      </c>
      <c r="Z5" s="9"/>
      <c r="AA5" s="10" t="str">
        <f aca="false">IF(Z5="","",Z5-Y5)</f>
        <v/>
      </c>
      <c r="AB5" s="11" t="str">
        <f aca="false">IF(COUNT(H5,K5,N5,Q5,T5,W5,Z5)=0,"not entered",IF(ABS(N(I5))+ABS(N(L5))+ABS(N(O5))+ABS(N(R5))+ABS(N(U5))+ABS(N(X5))+ABS(N(AA5))&lt;0.005,"OK","CHECK"))</f>
        <v>not entered</v>
      </c>
    </row>
    <row r="6" customFormat="false" ht="15" hidden="false" customHeight="false" outlineLevel="0" collapsed="false">
      <c r="A6" s="6" t="n">
        <v>5760</v>
      </c>
      <c r="B6" s="7" t="s">
        <v>61</v>
      </c>
      <c r="C6" s="7" t="s">
        <v>64</v>
      </c>
      <c r="D6" s="7" t="s">
        <v>65</v>
      </c>
      <c r="E6" s="7" t="n">
        <v>2</v>
      </c>
      <c r="F6" s="7" t="n">
        <v>3</v>
      </c>
      <c r="G6" s="8" t="n">
        <v>6720</v>
      </c>
      <c r="H6" s="9"/>
      <c r="I6" s="10" t="str">
        <f aca="false">IF(H6="","",H6-G6)</f>
        <v/>
      </c>
      <c r="J6" s="8" t="n">
        <v>2661.72</v>
      </c>
      <c r="K6" s="9"/>
      <c r="L6" s="10" t="str">
        <f aca="false">IF(K6="","",K6-J6)</f>
        <v/>
      </c>
      <c r="M6" s="8" t="n">
        <v>1320.9</v>
      </c>
      <c r="N6" s="9"/>
      <c r="O6" s="10" t="str">
        <f aca="false">IF(N6="","",N6-M6)</f>
        <v/>
      </c>
      <c r="P6" s="8"/>
      <c r="Q6" s="9"/>
      <c r="R6" s="10" t="str">
        <f aca="false">IF(Q6="","",Q6-P6)</f>
        <v/>
      </c>
      <c r="S6" s="8"/>
      <c r="T6" s="9"/>
      <c r="U6" s="10" t="str">
        <f aca="false">IF(T6="","",T6-S6)</f>
        <v/>
      </c>
      <c r="V6" s="8" t="n">
        <v>-50</v>
      </c>
      <c r="W6" s="9"/>
      <c r="X6" s="10" t="str">
        <f aca="false">IF(W6="","",W6-V6)</f>
        <v/>
      </c>
      <c r="Y6" s="8" t="n">
        <v>1270.9</v>
      </c>
      <c r="Z6" s="9"/>
      <c r="AA6" s="10" t="str">
        <f aca="false">IF(Z6="","",Z6-Y6)</f>
        <v/>
      </c>
      <c r="AB6" s="11" t="str">
        <f aca="false">IF(COUNT(H6,K6,N6,Q6,T6,W6,Z6)=0,"not entered",IF(ABS(N(I6))+ABS(N(L6))+ABS(N(O6))+ABS(N(R6))+ABS(N(U6))+ABS(N(X6))+ABS(N(AA6))&lt;0.005,"OK","CHECK"))</f>
        <v>not entered</v>
      </c>
    </row>
    <row r="7" customFormat="false" ht="15" hidden="false" customHeight="false" outlineLevel="0" collapsed="false">
      <c r="A7" s="6" t="n">
        <v>5761</v>
      </c>
      <c r="B7" s="7" t="s">
        <v>61</v>
      </c>
      <c r="C7" s="7" t="s">
        <v>66</v>
      </c>
      <c r="D7" s="7" t="s">
        <v>67</v>
      </c>
      <c r="E7" s="7" t="n">
        <v>2</v>
      </c>
      <c r="F7" s="7" t="n">
        <v>6</v>
      </c>
      <c r="G7" s="8" t="n">
        <v>6139</v>
      </c>
      <c r="H7" s="9"/>
      <c r="I7" s="10" t="str">
        <f aca="false">IF(H7="","",H7-G7)</f>
        <v/>
      </c>
      <c r="J7" s="8" t="n">
        <v>3101.36</v>
      </c>
      <c r="K7" s="9"/>
      <c r="L7" s="10" t="str">
        <f aca="false">IF(K7="","",K7-J7)</f>
        <v/>
      </c>
      <c r="M7" s="8" t="n">
        <v>1399.2</v>
      </c>
      <c r="N7" s="9"/>
      <c r="O7" s="10" t="str">
        <f aca="false">IF(N7="","",N7-M7)</f>
        <v/>
      </c>
      <c r="P7" s="8" t="n">
        <v>5</v>
      </c>
      <c r="Q7" s="9"/>
      <c r="R7" s="10" t="str">
        <f aca="false">IF(Q7="","",Q7-P7)</f>
        <v/>
      </c>
      <c r="S7" s="8" t="n">
        <v>195.65</v>
      </c>
      <c r="T7" s="9"/>
      <c r="U7" s="10" t="str">
        <f aca="false">IF(T7="","",T7-S7)</f>
        <v/>
      </c>
      <c r="V7" s="8" t="n">
        <v>-115</v>
      </c>
      <c r="W7" s="9"/>
      <c r="X7" s="10" t="str">
        <f aca="false">IF(W7="","",W7-V7)</f>
        <v/>
      </c>
      <c r="Y7" s="8" t="n">
        <v>1484.85</v>
      </c>
      <c r="Z7" s="9"/>
      <c r="AA7" s="10" t="str">
        <f aca="false">IF(Z7="","",Z7-Y7)</f>
        <v/>
      </c>
      <c r="AB7" s="11" t="str">
        <f aca="false">IF(COUNT(H7,K7,N7,Q7,T7,W7,Z7)=0,"not entered",IF(ABS(N(I7))+ABS(N(L7))+ABS(N(O7))+ABS(N(R7))+ABS(N(U7))+ABS(N(X7))+ABS(N(AA7))&lt;0.005,"OK","CHECK"))</f>
        <v>not entered</v>
      </c>
    </row>
    <row r="8" customFormat="false" ht="15" hidden="false" customHeight="false" outlineLevel="0" collapsed="false">
      <c r="A8" s="6" t="n">
        <v>5762</v>
      </c>
      <c r="B8" s="7" t="s">
        <v>61</v>
      </c>
      <c r="C8" s="7" t="s">
        <v>68</v>
      </c>
      <c r="D8" s="7" t="s">
        <v>69</v>
      </c>
      <c r="E8" s="7" t="n">
        <v>2</v>
      </c>
      <c r="F8" s="7" t="n">
        <v>8</v>
      </c>
      <c r="G8" s="8" t="n">
        <v>7439</v>
      </c>
      <c r="H8" s="9"/>
      <c r="I8" s="10" t="str">
        <f aca="false">IF(H8="","",H8-G8)</f>
        <v/>
      </c>
      <c r="J8" s="8" t="n">
        <v>4220.24</v>
      </c>
      <c r="K8" s="9"/>
      <c r="L8" s="10" t="str">
        <f aca="false">IF(K8="","",K8-J8)</f>
        <v/>
      </c>
      <c r="M8" s="8" t="n">
        <v>1359.28</v>
      </c>
      <c r="N8" s="9"/>
      <c r="O8" s="10" t="str">
        <f aca="false">IF(N8="","",N8-M8)</f>
        <v/>
      </c>
      <c r="P8" s="8"/>
      <c r="Q8" s="9"/>
      <c r="R8" s="10" t="str">
        <f aca="false">IF(Q8="","",Q8-P8)</f>
        <v/>
      </c>
      <c r="S8" s="8" t="n">
        <v>61.1</v>
      </c>
      <c r="T8" s="9"/>
      <c r="U8" s="10" t="str">
        <f aca="false">IF(T8="","",T8-S8)</f>
        <v/>
      </c>
      <c r="V8" s="8" t="n">
        <v>-108</v>
      </c>
      <c r="W8" s="9"/>
      <c r="X8" s="10" t="str">
        <f aca="false">IF(W8="","",W8-V8)</f>
        <v/>
      </c>
      <c r="Y8" s="8" t="n">
        <v>1312.38</v>
      </c>
      <c r="Z8" s="9"/>
      <c r="AA8" s="10" t="str">
        <f aca="false">IF(Z8="","",Z8-Y8)</f>
        <v/>
      </c>
      <c r="AB8" s="11" t="str">
        <f aca="false">IF(COUNT(H8,K8,N8,Q8,T8,W8,Z8)=0,"not entered",IF(ABS(N(I8))+ABS(N(L8))+ABS(N(O8))+ABS(N(R8))+ABS(N(U8))+ABS(N(X8))+ABS(N(AA8))&lt;0.005,"OK","CHECK"))</f>
        <v>not entered</v>
      </c>
    </row>
    <row r="9" customFormat="false" ht="15" hidden="false" customHeight="false" outlineLevel="0" collapsed="false">
      <c r="A9" s="6" t="n">
        <v>5763</v>
      </c>
      <c r="B9" s="7" t="s">
        <v>61</v>
      </c>
      <c r="C9" s="7" t="s">
        <v>70</v>
      </c>
      <c r="D9" s="7" t="s">
        <v>71</v>
      </c>
      <c r="E9" s="7" t="n">
        <v>2</v>
      </c>
      <c r="F9" s="7" t="n">
        <v>3</v>
      </c>
      <c r="G9" s="8" t="n">
        <v>7600</v>
      </c>
      <c r="H9" s="9"/>
      <c r="I9" s="10" t="str">
        <f aca="false">IF(H9="","",H9-G9)</f>
        <v/>
      </c>
      <c r="J9" s="8" t="n">
        <v>2482.28</v>
      </c>
      <c r="K9" s="9"/>
      <c r="L9" s="10" t="str">
        <f aca="false">IF(K9="","",K9-J9)</f>
        <v/>
      </c>
      <c r="M9" s="8" t="n">
        <v>1202.59</v>
      </c>
      <c r="N9" s="9"/>
      <c r="O9" s="10" t="str">
        <f aca="false">IF(N9="","",N9-M9)</f>
        <v/>
      </c>
      <c r="P9" s="8" t="n">
        <v>100</v>
      </c>
      <c r="Q9" s="9"/>
      <c r="R9" s="10" t="str">
        <f aca="false">IF(Q9="","",Q9-P9)</f>
        <v/>
      </c>
      <c r="S9" s="8" t="n">
        <v>15.25</v>
      </c>
      <c r="T9" s="9"/>
      <c r="U9" s="10" t="str">
        <f aca="false">IF(T9="","",T9-S9)</f>
        <v/>
      </c>
      <c r="V9" s="8" t="n">
        <v>-260</v>
      </c>
      <c r="W9" s="9"/>
      <c r="X9" s="10" t="str">
        <f aca="false">IF(W9="","",W9-V9)</f>
        <v/>
      </c>
      <c r="Y9" s="8" t="n">
        <v>1057.84</v>
      </c>
      <c r="Z9" s="9"/>
      <c r="AA9" s="10" t="str">
        <f aca="false">IF(Z9="","",Z9-Y9)</f>
        <v/>
      </c>
      <c r="AB9" s="11" t="str">
        <f aca="false">IF(COUNT(H9,K9,N9,Q9,T9,W9,Z9)=0,"not entered",IF(ABS(N(I9))+ABS(N(L9))+ABS(N(O9))+ABS(N(R9))+ABS(N(U9))+ABS(N(X9))+ABS(N(AA9))&lt;0.005,"OK","CHECK"))</f>
        <v>not entered</v>
      </c>
    </row>
    <row r="10" customFormat="false" ht="15" hidden="false" customHeight="false" outlineLevel="0" collapsed="false">
      <c r="A10" s="6" t="n">
        <v>5764</v>
      </c>
      <c r="B10" s="7" t="s">
        <v>61</v>
      </c>
      <c r="C10" s="7" t="s">
        <v>72</v>
      </c>
      <c r="D10" s="7" t="s">
        <v>73</v>
      </c>
      <c r="E10" s="7" t="n">
        <v>2</v>
      </c>
      <c r="F10" s="7" t="n">
        <v>5</v>
      </c>
      <c r="G10" s="8" t="n">
        <v>8900</v>
      </c>
      <c r="H10" s="9"/>
      <c r="I10" s="10" t="str">
        <f aca="false">IF(H10="","",H10-G10)</f>
        <v/>
      </c>
      <c r="J10" s="8" t="n">
        <v>3779.49</v>
      </c>
      <c r="K10" s="9"/>
      <c r="L10" s="10" t="str">
        <f aca="false">IF(K10="","",K10-J10)</f>
        <v/>
      </c>
      <c r="M10" s="8" t="n">
        <v>1929.3</v>
      </c>
      <c r="N10" s="9"/>
      <c r="O10" s="10" t="str">
        <f aca="false">IF(N10="","",N10-M10)</f>
        <v/>
      </c>
      <c r="P10" s="8" t="n">
        <v>100</v>
      </c>
      <c r="Q10" s="9"/>
      <c r="R10" s="10" t="str">
        <f aca="false">IF(Q10="","",Q10-P10)</f>
        <v/>
      </c>
      <c r="S10" s="8"/>
      <c r="T10" s="9"/>
      <c r="U10" s="10" t="str">
        <f aca="false">IF(T10="","",T10-S10)</f>
        <v/>
      </c>
      <c r="V10" s="8" t="n">
        <v>-10</v>
      </c>
      <c r="W10" s="9"/>
      <c r="X10" s="10" t="str">
        <f aca="false">IF(W10="","",W10-V10)</f>
        <v/>
      </c>
      <c r="Y10" s="8" t="n">
        <v>2019.3</v>
      </c>
      <c r="Z10" s="9"/>
      <c r="AA10" s="10" t="str">
        <f aca="false">IF(Z10="","",Z10-Y10)</f>
        <v/>
      </c>
      <c r="AB10" s="11" t="str">
        <f aca="false">IF(COUNT(H10,K10,N10,Q10,T10,W10,Z10)=0,"not entered",IF(ABS(N(I10))+ABS(N(L10))+ABS(N(O10))+ABS(N(R10))+ABS(N(U10))+ABS(N(X10))+ABS(N(AA10))&lt;0.005,"OK","CHECK"))</f>
        <v>not entered</v>
      </c>
    </row>
    <row r="11" customFormat="false" ht="15" hidden="false" customHeight="false" outlineLevel="0" collapsed="false">
      <c r="A11" s="6" t="n">
        <v>5765</v>
      </c>
      <c r="B11" s="7" t="s">
        <v>61</v>
      </c>
      <c r="C11" s="7" t="s">
        <v>62</v>
      </c>
      <c r="D11" s="7" t="s">
        <v>74</v>
      </c>
      <c r="E11" s="7" t="n">
        <v>2</v>
      </c>
      <c r="F11" s="7" t="n">
        <v>5</v>
      </c>
      <c r="G11" s="8" t="n">
        <v>8900</v>
      </c>
      <c r="H11" s="9"/>
      <c r="I11" s="10" t="str">
        <f aca="false">IF(H11="","",H11-G11)</f>
        <v/>
      </c>
      <c r="J11" s="8" t="n">
        <v>3032.07</v>
      </c>
      <c r="K11" s="9"/>
      <c r="L11" s="10" t="str">
        <f aca="false">IF(K11="","",K11-J11)</f>
        <v/>
      </c>
      <c r="M11" s="8" t="n">
        <v>1929.3</v>
      </c>
      <c r="N11" s="9"/>
      <c r="O11" s="10" t="str">
        <f aca="false">IF(N11="","",N11-M11)</f>
        <v/>
      </c>
      <c r="P11" s="8" t="n">
        <v>100</v>
      </c>
      <c r="Q11" s="9"/>
      <c r="R11" s="10" t="str">
        <f aca="false">IF(Q11="","",Q11-P11)</f>
        <v/>
      </c>
      <c r="S11" s="8"/>
      <c r="T11" s="9"/>
      <c r="U11" s="10" t="str">
        <f aca="false">IF(T11="","",T11-S11)</f>
        <v/>
      </c>
      <c r="V11" s="8"/>
      <c r="W11" s="9"/>
      <c r="X11" s="10" t="str">
        <f aca="false">IF(W11="","",W11-V11)</f>
        <v/>
      </c>
      <c r="Y11" s="8" t="n">
        <v>2029.3</v>
      </c>
      <c r="Z11" s="9"/>
      <c r="AA11" s="10" t="str">
        <f aca="false">IF(Z11="","",Z11-Y11)</f>
        <v/>
      </c>
      <c r="AB11" s="11" t="str">
        <f aca="false">IF(COUNT(H11,K11,N11,Q11,T11,W11,Z11)=0,"not entered",IF(ABS(N(I11))+ABS(N(L11))+ABS(N(O11))+ABS(N(R11))+ABS(N(U11))+ABS(N(X11))+ABS(N(AA11))&lt;0.005,"OK","CHECK"))</f>
        <v>not entered</v>
      </c>
    </row>
    <row r="12" customFormat="false" ht="15" hidden="false" customHeight="false" outlineLevel="0" collapsed="false">
      <c r="A12" s="6" t="n">
        <v>5766</v>
      </c>
      <c r="B12" s="7" t="s">
        <v>75</v>
      </c>
      <c r="C12" s="7" t="s">
        <v>76</v>
      </c>
      <c r="D12" s="7" t="s">
        <v>77</v>
      </c>
      <c r="E12" s="7" t="n">
        <v>1</v>
      </c>
      <c r="F12" s="7" t="n">
        <v>2</v>
      </c>
      <c r="G12" s="8" t="n">
        <v>1500</v>
      </c>
      <c r="H12" s="9"/>
      <c r="I12" s="10" t="str">
        <f aca="false">IF(H12="","",H12-G12)</f>
        <v/>
      </c>
      <c r="J12" s="8" t="n">
        <v>660.55</v>
      </c>
      <c r="K12" s="9"/>
      <c r="L12" s="10" t="str">
        <f aca="false">IF(K12="","",K12-J12)</f>
        <v/>
      </c>
      <c r="M12" s="8"/>
      <c r="N12" s="9"/>
      <c r="O12" s="10" t="str">
        <f aca="false">IF(N12="","",N12-M12)</f>
        <v/>
      </c>
      <c r="P12" s="8"/>
      <c r="Q12" s="9"/>
      <c r="R12" s="10" t="str">
        <f aca="false">IF(Q12="","",Q12-P12)</f>
        <v/>
      </c>
      <c r="S12" s="8" t="n">
        <v>20</v>
      </c>
      <c r="T12" s="9"/>
      <c r="U12" s="10" t="str">
        <f aca="false">IF(T12="","",T12-S12)</f>
        <v/>
      </c>
      <c r="V12" s="8"/>
      <c r="W12" s="9"/>
      <c r="X12" s="10" t="str">
        <f aca="false">IF(W12="","",W12-V12)</f>
        <v/>
      </c>
      <c r="Y12" s="8" t="n">
        <v>320</v>
      </c>
      <c r="Z12" s="9"/>
      <c r="AA12" s="10" t="str">
        <f aca="false">IF(Z12="","",Z12-Y12)</f>
        <v/>
      </c>
      <c r="AB12" s="11" t="str">
        <f aca="false">IF(COUNT(H12,K12,N12,Q12,T12,W12,Z12)=0,"not entered",IF(ABS(N(I12))+ABS(N(L12))+ABS(N(O12))+ABS(N(R12))+ABS(N(U12))+ABS(N(X12))+ABS(N(AA12))&lt;0.005,"OK","CHECK"))</f>
        <v>not entered</v>
      </c>
    </row>
    <row r="13" customFormat="false" ht="15" hidden="false" customHeight="false" outlineLevel="0" collapsed="false">
      <c r="A13" s="6" t="n">
        <v>5767</v>
      </c>
      <c r="B13" s="7" t="s">
        <v>61</v>
      </c>
      <c r="C13" s="7" t="s">
        <v>78</v>
      </c>
      <c r="D13" s="7" t="s">
        <v>79</v>
      </c>
      <c r="E13" s="7" t="n">
        <v>2</v>
      </c>
      <c r="F13" s="7" t="n">
        <v>5</v>
      </c>
      <c r="G13" s="8" t="n">
        <v>7100</v>
      </c>
      <c r="H13" s="9"/>
      <c r="I13" s="10" t="str">
        <f aca="false">IF(H13="","",H13-G13)</f>
        <v/>
      </c>
      <c r="J13" s="8" t="n">
        <v>2673.68</v>
      </c>
      <c r="K13" s="9"/>
      <c r="L13" s="10" t="str">
        <f aca="false">IF(K13="","",K13-J13)</f>
        <v/>
      </c>
      <c r="M13" s="8" t="n">
        <v>1307.2</v>
      </c>
      <c r="N13" s="9"/>
      <c r="O13" s="10" t="str">
        <f aca="false">IF(N13="","",N13-M13)</f>
        <v/>
      </c>
      <c r="P13" s="8"/>
      <c r="Q13" s="9"/>
      <c r="R13" s="10" t="str">
        <f aca="false">IF(Q13="","",Q13-P13)</f>
        <v/>
      </c>
      <c r="S13" s="8" t="n">
        <v>20.5</v>
      </c>
      <c r="T13" s="9"/>
      <c r="U13" s="10" t="str">
        <f aca="false">IF(T13="","",T13-S13)</f>
        <v/>
      </c>
      <c r="V13" s="8" t="n">
        <v>-60</v>
      </c>
      <c r="W13" s="9"/>
      <c r="X13" s="10" t="str">
        <f aca="false">IF(W13="","",W13-V13)</f>
        <v/>
      </c>
      <c r="Y13" s="8" t="n">
        <v>1267.7</v>
      </c>
      <c r="Z13" s="9"/>
      <c r="AA13" s="10" t="str">
        <f aca="false">IF(Z13="","",Z13-Y13)</f>
        <v/>
      </c>
      <c r="AB13" s="11" t="str">
        <f aca="false">IF(COUNT(H13,K13,N13,Q13,T13,W13,Z13)=0,"not entered",IF(ABS(N(I13))+ABS(N(L13))+ABS(N(O13))+ABS(N(R13))+ABS(N(U13))+ABS(N(X13))+ABS(N(AA13))&lt;0.005,"OK","CHECK"))</f>
        <v>not entered</v>
      </c>
    </row>
    <row r="14" customFormat="false" ht="15" hidden="false" customHeight="false" outlineLevel="0" collapsed="false">
      <c r="A14" s="6" t="n">
        <v>5768</v>
      </c>
      <c r="B14" s="7" t="s">
        <v>61</v>
      </c>
      <c r="C14" s="7" t="s">
        <v>80</v>
      </c>
      <c r="D14" s="7" t="s">
        <v>81</v>
      </c>
      <c r="E14" s="7" t="n">
        <v>2</v>
      </c>
      <c r="F14" s="7" t="n">
        <v>5</v>
      </c>
      <c r="G14" s="8" t="n">
        <v>7300</v>
      </c>
      <c r="H14" s="9"/>
      <c r="I14" s="10" t="str">
        <f aca="false">IF(H14="","",H14-G14)</f>
        <v/>
      </c>
      <c r="J14" s="8" t="n">
        <v>2969.49</v>
      </c>
      <c r="K14" s="9"/>
      <c r="L14" s="10" t="str">
        <f aca="false">IF(K14="","",K14-J14)</f>
        <v/>
      </c>
      <c r="M14" s="8" t="n">
        <v>1228.1</v>
      </c>
      <c r="N14" s="9"/>
      <c r="O14" s="10" t="str">
        <f aca="false">IF(N14="","",N14-M14)</f>
        <v/>
      </c>
      <c r="P14" s="8" t="n">
        <v>25</v>
      </c>
      <c r="Q14" s="9"/>
      <c r="R14" s="10" t="str">
        <f aca="false">IF(Q14="","",Q14-P14)</f>
        <v/>
      </c>
      <c r="S14" s="8"/>
      <c r="T14" s="9"/>
      <c r="U14" s="10" t="str">
        <f aca="false">IF(T14="","",T14-S14)</f>
        <v/>
      </c>
      <c r="V14" s="8" t="n">
        <v>-60</v>
      </c>
      <c r="W14" s="9"/>
      <c r="X14" s="10" t="str">
        <f aca="false">IF(W14="","",W14-V14)</f>
        <v/>
      </c>
      <c r="Y14" s="8" t="n">
        <v>1193.1</v>
      </c>
      <c r="Z14" s="9"/>
      <c r="AA14" s="10" t="str">
        <f aca="false">IF(Z14="","",Z14-Y14)</f>
        <v/>
      </c>
      <c r="AB14" s="11" t="str">
        <f aca="false">IF(COUNT(H14,K14,N14,Q14,T14,W14,Z14)=0,"not entered",IF(ABS(N(I14))+ABS(N(L14))+ABS(N(O14))+ABS(N(R14))+ABS(N(U14))+ABS(N(X14))+ABS(N(AA14))&lt;0.005,"OK","CHECK"))</f>
        <v>not entered</v>
      </c>
    </row>
    <row r="15" customFormat="false" ht="15" hidden="false" customHeight="false" outlineLevel="0" collapsed="false">
      <c r="A15" s="6" t="n">
        <v>5769</v>
      </c>
      <c r="B15" s="7" t="s">
        <v>61</v>
      </c>
      <c r="C15" s="7" t="s">
        <v>82</v>
      </c>
      <c r="D15" s="7" t="s">
        <v>83</v>
      </c>
      <c r="E15" s="7" t="n">
        <v>2</v>
      </c>
      <c r="F15" s="7" t="n">
        <v>2</v>
      </c>
      <c r="G15" s="8" t="n">
        <v>6300</v>
      </c>
      <c r="H15" s="9"/>
      <c r="I15" s="10" t="str">
        <f aca="false">IF(H15="","",H15-G15)</f>
        <v/>
      </c>
      <c r="J15" s="8" t="n">
        <v>1278.22</v>
      </c>
      <c r="K15" s="9"/>
      <c r="L15" s="10" t="str">
        <f aca="false">IF(K15="","",K15-J15)</f>
        <v/>
      </c>
      <c r="M15" s="8" t="n">
        <v>1155.52</v>
      </c>
      <c r="N15" s="9"/>
      <c r="O15" s="10" t="str">
        <f aca="false">IF(N15="","",N15-M15)</f>
        <v/>
      </c>
      <c r="P15" s="8"/>
      <c r="Q15" s="9"/>
      <c r="R15" s="10" t="str">
        <f aca="false">IF(Q15="","",Q15-P15)</f>
        <v/>
      </c>
      <c r="S15" s="8"/>
      <c r="T15" s="9"/>
      <c r="U15" s="10" t="str">
        <f aca="false">IF(T15="","",T15-S15)</f>
        <v/>
      </c>
      <c r="V15" s="8" t="n">
        <v>-60</v>
      </c>
      <c r="W15" s="9"/>
      <c r="X15" s="10" t="str">
        <f aca="false">IF(W15="","",W15-V15)</f>
        <v/>
      </c>
      <c r="Y15" s="8" t="n">
        <v>1095.52</v>
      </c>
      <c r="Z15" s="9"/>
      <c r="AA15" s="10" t="str">
        <f aca="false">IF(Z15="","",Z15-Y15)</f>
        <v/>
      </c>
      <c r="AB15" s="11" t="str">
        <f aca="false">IF(COUNT(H15,K15,N15,Q15,T15,W15,Z15)=0,"not entered",IF(ABS(N(I15))+ABS(N(L15))+ABS(N(O15))+ABS(N(R15))+ABS(N(U15))+ABS(N(X15))+ABS(N(AA15))&lt;0.005,"OK","CHECK"))</f>
        <v>not entered</v>
      </c>
    </row>
    <row r="16" customFormat="false" ht="15" hidden="false" customHeight="false" outlineLevel="0" collapsed="false">
      <c r="A16" s="6" t="n">
        <v>5770</v>
      </c>
      <c r="B16" s="7" t="s">
        <v>61</v>
      </c>
      <c r="C16" s="7" t="s">
        <v>62</v>
      </c>
      <c r="D16" s="7" t="s">
        <v>74</v>
      </c>
      <c r="E16" s="7" t="n">
        <v>2</v>
      </c>
      <c r="F16" s="7" t="n">
        <v>5</v>
      </c>
      <c r="G16" s="8" t="n">
        <v>9300</v>
      </c>
      <c r="H16" s="9"/>
      <c r="I16" s="10" t="str">
        <f aca="false">IF(H16="","",H16-G16)</f>
        <v/>
      </c>
      <c r="J16" s="8" t="n">
        <v>3221.7</v>
      </c>
      <c r="K16" s="9"/>
      <c r="L16" s="10" t="str">
        <f aca="false">IF(K16="","",K16-J16)</f>
        <v/>
      </c>
      <c r="M16" s="8" t="n">
        <v>1907.5</v>
      </c>
      <c r="N16" s="9"/>
      <c r="O16" s="10" t="str">
        <f aca="false">IF(N16="","",N16-M16)</f>
        <v/>
      </c>
      <c r="P16" s="8" t="n">
        <v>100</v>
      </c>
      <c r="Q16" s="9"/>
      <c r="R16" s="10" t="str">
        <f aca="false">IF(Q16="","",Q16-P16)</f>
        <v/>
      </c>
      <c r="S16" s="8"/>
      <c r="T16" s="9"/>
      <c r="U16" s="10" t="str">
        <f aca="false">IF(T16="","",T16-S16)</f>
        <v/>
      </c>
      <c r="V16" s="8" t="n">
        <v>-10</v>
      </c>
      <c r="W16" s="9"/>
      <c r="X16" s="10" t="str">
        <f aca="false">IF(W16="","",W16-V16)</f>
        <v/>
      </c>
      <c r="Y16" s="8" t="n">
        <v>1997.5</v>
      </c>
      <c r="Z16" s="9"/>
      <c r="AA16" s="10" t="str">
        <f aca="false">IF(Z16="","",Z16-Y16)</f>
        <v/>
      </c>
      <c r="AB16" s="11" t="str">
        <f aca="false">IF(COUNT(H16,K16,N16,Q16,T16,W16,Z16)=0,"not entered",IF(ABS(N(I16))+ABS(N(L16))+ABS(N(O16))+ABS(N(R16))+ABS(N(U16))+ABS(N(X16))+ABS(N(AA16))&lt;0.005,"OK","CHECK"))</f>
        <v>not entered</v>
      </c>
    </row>
    <row r="17" customFormat="false" ht="15" hidden="false" customHeight="false" outlineLevel="0" collapsed="false">
      <c r="A17" s="6" t="n">
        <v>5771</v>
      </c>
      <c r="B17" s="7" t="s">
        <v>61</v>
      </c>
      <c r="C17" s="7" t="s">
        <v>72</v>
      </c>
      <c r="D17" s="7" t="s">
        <v>84</v>
      </c>
      <c r="E17" s="7" t="n">
        <v>2</v>
      </c>
      <c r="F17" s="7" t="n">
        <v>4</v>
      </c>
      <c r="G17" s="8" t="n">
        <v>7900</v>
      </c>
      <c r="H17" s="9"/>
      <c r="I17" s="10" t="str">
        <f aca="false">IF(H17="","",H17-G17)</f>
        <v/>
      </c>
      <c r="J17" s="8" t="n">
        <v>3171.66</v>
      </c>
      <c r="K17" s="9"/>
      <c r="L17" s="10" t="str">
        <f aca="false">IF(K17="","",K17-J17)</f>
        <v/>
      </c>
      <c r="M17" s="8" t="n">
        <v>1909.1</v>
      </c>
      <c r="N17" s="9"/>
      <c r="O17" s="10" t="str">
        <f aca="false">IF(N17="","",N17-M17)</f>
        <v/>
      </c>
      <c r="P17" s="8" t="n">
        <v>50</v>
      </c>
      <c r="Q17" s="9"/>
      <c r="R17" s="10" t="str">
        <f aca="false">IF(Q17="","",Q17-P17)</f>
        <v/>
      </c>
      <c r="S17" s="8"/>
      <c r="T17" s="9"/>
      <c r="U17" s="10" t="str">
        <f aca="false">IF(T17="","",T17-S17)</f>
        <v/>
      </c>
      <c r="V17" s="8" t="n">
        <v>-10</v>
      </c>
      <c r="W17" s="9"/>
      <c r="X17" s="10" t="str">
        <f aca="false">IF(W17="","",W17-V17)</f>
        <v/>
      </c>
      <c r="Y17" s="8" t="n">
        <v>1949.1</v>
      </c>
      <c r="Z17" s="9"/>
      <c r="AA17" s="10" t="str">
        <f aca="false">IF(Z17="","",Z17-Y17)</f>
        <v/>
      </c>
      <c r="AB17" s="11" t="str">
        <f aca="false">IF(COUNT(H17,K17,N17,Q17,T17,W17,Z17)=0,"not entered",IF(ABS(N(I17))+ABS(N(L17))+ABS(N(O17))+ABS(N(R17))+ABS(N(U17))+ABS(N(X17))+ABS(N(AA17))&lt;0.005,"OK","CHECK"))</f>
        <v>not entered</v>
      </c>
    </row>
    <row r="18" customFormat="false" ht="15" hidden="false" customHeight="false" outlineLevel="0" collapsed="false">
      <c r="A18" s="6" t="n">
        <v>5772</v>
      </c>
      <c r="B18" s="7" t="s">
        <v>75</v>
      </c>
      <c r="C18" s="7" t="s">
        <v>85</v>
      </c>
      <c r="D18" s="7" t="s">
        <v>86</v>
      </c>
      <c r="E18" s="7" t="n">
        <v>4</v>
      </c>
      <c r="F18" s="7" t="n">
        <v>6</v>
      </c>
      <c r="G18" s="8" t="n">
        <v>7225</v>
      </c>
      <c r="H18" s="9"/>
      <c r="I18" s="10" t="str">
        <f aca="false">IF(H18="","",H18-G18)</f>
        <v/>
      </c>
      <c r="J18" s="8" t="n">
        <v>3979.4</v>
      </c>
      <c r="K18" s="9"/>
      <c r="L18" s="10" t="str">
        <f aca="false">IF(K18="","",K18-J18)</f>
        <v/>
      </c>
      <c r="M18" s="8" t="n">
        <v>1381.83</v>
      </c>
      <c r="N18" s="9"/>
      <c r="O18" s="10" t="str">
        <f aca="false">IF(N18="","",N18-M18)</f>
        <v/>
      </c>
      <c r="P18" s="8" t="n">
        <v>100</v>
      </c>
      <c r="Q18" s="9"/>
      <c r="R18" s="10" t="str">
        <f aca="false">IF(Q18="","",Q18-P18)</f>
        <v/>
      </c>
      <c r="S18" s="8" t="n">
        <v>15.25</v>
      </c>
      <c r="T18" s="9"/>
      <c r="U18" s="10" t="str">
        <f aca="false">IF(T18="","",T18-S18)</f>
        <v/>
      </c>
      <c r="V18" s="8" t="n">
        <v>-500</v>
      </c>
      <c r="W18" s="9"/>
      <c r="X18" s="10" t="str">
        <f aca="false">IF(W18="","",W18-V18)</f>
        <v/>
      </c>
      <c r="Y18" s="8" t="n">
        <v>997.08</v>
      </c>
      <c r="Z18" s="9"/>
      <c r="AA18" s="10" t="str">
        <f aca="false">IF(Z18="","",Z18-Y18)</f>
        <v/>
      </c>
      <c r="AB18" s="11" t="str">
        <f aca="false">IF(COUNT(H18,K18,N18,Q18,T18,W18,Z18)=0,"not entered",IF(ABS(N(I18))+ABS(N(L18))+ABS(N(O18))+ABS(N(R18))+ABS(N(U18))+ABS(N(X18))+ABS(N(AA18))&lt;0.005,"OK","CHECK"))</f>
        <v>not entered</v>
      </c>
    </row>
    <row r="19" customFormat="false" ht="15" hidden="false" customHeight="false" outlineLevel="0" collapsed="false">
      <c r="A19" s="6" t="n">
        <v>5773</v>
      </c>
      <c r="B19" s="7" t="s">
        <v>61</v>
      </c>
      <c r="C19" s="7" t="s">
        <v>87</v>
      </c>
      <c r="D19" s="7" t="s">
        <v>88</v>
      </c>
      <c r="E19" s="7" t="n">
        <v>2</v>
      </c>
      <c r="F19" s="7" t="n">
        <v>5</v>
      </c>
      <c r="G19" s="8" t="n">
        <v>10800</v>
      </c>
      <c r="H19" s="9"/>
      <c r="I19" s="10" t="str">
        <f aca="false">IF(H19="","",H19-G19)</f>
        <v/>
      </c>
      <c r="J19" s="8" t="n">
        <v>3805.85</v>
      </c>
      <c r="K19" s="9"/>
      <c r="L19" s="10" t="str">
        <f aca="false">IF(K19="","",K19-J19)</f>
        <v/>
      </c>
      <c r="M19" s="8" t="n">
        <v>1897.52</v>
      </c>
      <c r="N19" s="9"/>
      <c r="O19" s="10" t="str">
        <f aca="false">IF(N19="","",N19-M19)</f>
        <v/>
      </c>
      <c r="P19" s="8"/>
      <c r="Q19" s="9"/>
      <c r="R19" s="10" t="str">
        <f aca="false">IF(Q19="","",Q19-P19)</f>
        <v/>
      </c>
      <c r="S19" s="8"/>
      <c r="T19" s="9"/>
      <c r="U19" s="10" t="str">
        <f aca="false">IF(T19="","",T19-S19)</f>
        <v/>
      </c>
      <c r="V19" s="8" t="n">
        <v>-60</v>
      </c>
      <c r="W19" s="9"/>
      <c r="X19" s="10" t="str">
        <f aca="false">IF(W19="","",W19-V19)</f>
        <v/>
      </c>
      <c r="Y19" s="8" t="n">
        <v>1837.52</v>
      </c>
      <c r="Z19" s="9"/>
      <c r="AA19" s="10" t="str">
        <f aca="false">IF(Z19="","",Z19-Y19)</f>
        <v/>
      </c>
      <c r="AB19" s="11" t="str">
        <f aca="false">IF(COUNT(H19,K19,N19,Q19,T19,W19,Z19)=0,"not entered",IF(ABS(N(I19))+ABS(N(L19))+ABS(N(O19))+ABS(N(R19))+ABS(N(U19))+ABS(N(X19))+ABS(N(AA19))&lt;0.005,"OK","CHECK"))</f>
        <v>not entered</v>
      </c>
    </row>
    <row r="20" customFormat="false" ht="15" hidden="false" customHeight="false" outlineLevel="0" collapsed="false">
      <c r="A20" s="6" t="n">
        <v>5774</v>
      </c>
      <c r="B20" s="7" t="s">
        <v>61</v>
      </c>
      <c r="C20" s="7" t="s">
        <v>78</v>
      </c>
      <c r="D20" s="7" t="s">
        <v>67</v>
      </c>
      <c r="E20" s="7" t="n">
        <v>2</v>
      </c>
      <c r="F20" s="7" t="n">
        <v>3</v>
      </c>
      <c r="G20" s="8" t="n">
        <v>7800</v>
      </c>
      <c r="H20" s="9"/>
      <c r="I20" s="10" t="str">
        <f aca="false">IF(H20="","",H20-G20)</f>
        <v/>
      </c>
      <c r="J20" s="8" t="n">
        <v>2519.78</v>
      </c>
      <c r="K20" s="9"/>
      <c r="L20" s="10" t="str">
        <f aca="false">IF(K20="","",K20-J20)</f>
        <v/>
      </c>
      <c r="M20" s="8" t="n">
        <v>1051.95</v>
      </c>
      <c r="N20" s="9"/>
      <c r="O20" s="10" t="str">
        <f aca="false">IF(N20="","",N20-M20)</f>
        <v/>
      </c>
      <c r="P20" s="8"/>
      <c r="Q20" s="9"/>
      <c r="R20" s="10" t="str">
        <f aca="false">IF(Q20="","",Q20-P20)</f>
        <v/>
      </c>
      <c r="S20" s="8" t="n">
        <v>115.47</v>
      </c>
      <c r="T20" s="9"/>
      <c r="U20" s="10" t="str">
        <f aca="false">IF(T20="","",T20-S20)</f>
        <v/>
      </c>
      <c r="V20" s="8" t="n">
        <v>-60</v>
      </c>
      <c r="W20" s="9"/>
      <c r="X20" s="10" t="str">
        <f aca="false">IF(W20="","",W20-V20)</f>
        <v/>
      </c>
      <c r="Y20" s="8" t="n">
        <v>1107.42</v>
      </c>
      <c r="Z20" s="9"/>
      <c r="AA20" s="10" t="str">
        <f aca="false">IF(Z20="","",Z20-Y20)</f>
        <v/>
      </c>
      <c r="AB20" s="11" t="str">
        <f aca="false">IF(COUNT(H20,K20,N20,Q20,T20,W20,Z20)=0,"not entered",IF(ABS(N(I20))+ABS(N(L20))+ABS(N(O20))+ABS(N(R20))+ABS(N(U20))+ABS(N(X20))+ABS(N(AA20))&lt;0.005,"OK","CHECK"))</f>
        <v>not entered</v>
      </c>
    </row>
    <row r="21" customFormat="false" ht="15" hidden="false" customHeight="false" outlineLevel="0" collapsed="false">
      <c r="A21" s="6" t="n">
        <v>5775</v>
      </c>
      <c r="B21" s="7" t="s">
        <v>61</v>
      </c>
      <c r="C21" s="7" t="s">
        <v>89</v>
      </c>
      <c r="D21" s="7" t="s">
        <v>71</v>
      </c>
      <c r="E21" s="7" t="n">
        <v>3</v>
      </c>
      <c r="F21" s="7" t="n">
        <v>6</v>
      </c>
      <c r="G21" s="8" t="n">
        <v>7300</v>
      </c>
      <c r="H21" s="9"/>
      <c r="I21" s="10" t="str">
        <f aca="false">IF(H21="","",H21-G21)</f>
        <v/>
      </c>
      <c r="J21" s="8" t="n">
        <v>3207.4</v>
      </c>
      <c r="K21" s="9"/>
      <c r="L21" s="10" t="str">
        <f aca="false">IF(K21="","",K21-J21)</f>
        <v/>
      </c>
      <c r="M21" s="8" t="n">
        <v>1304.15</v>
      </c>
      <c r="N21" s="9"/>
      <c r="O21" s="10" t="str">
        <f aca="false">IF(N21="","",N21-M21)</f>
        <v/>
      </c>
      <c r="P21" s="8" t="n">
        <v>100</v>
      </c>
      <c r="Q21" s="9"/>
      <c r="R21" s="10" t="str">
        <f aca="false">IF(Q21="","",Q21-P21)</f>
        <v/>
      </c>
      <c r="S21" s="8" t="n">
        <v>15.25</v>
      </c>
      <c r="T21" s="9"/>
      <c r="U21" s="10" t="str">
        <f aca="false">IF(T21="","",T21-S21)</f>
        <v/>
      </c>
      <c r="V21" s="8" t="n">
        <v>-233</v>
      </c>
      <c r="W21" s="9"/>
      <c r="X21" s="10" t="str">
        <f aca="false">IF(W21="","",W21-V21)</f>
        <v/>
      </c>
      <c r="Y21" s="8" t="n">
        <v>1186.4</v>
      </c>
      <c r="Z21" s="9"/>
      <c r="AA21" s="10" t="str">
        <f aca="false">IF(Z21="","",Z21-Y21)</f>
        <v/>
      </c>
      <c r="AB21" s="11" t="str">
        <f aca="false">IF(COUNT(H21,K21,N21,Q21,T21,W21,Z21)=0,"not entered",IF(ABS(N(I21))+ABS(N(L21))+ABS(N(O21))+ABS(N(R21))+ABS(N(U21))+ABS(N(X21))+ABS(N(AA21))&lt;0.005,"OK","CHECK"))</f>
        <v>not entered</v>
      </c>
    </row>
    <row r="22" customFormat="false" ht="15" hidden="false" customHeight="false" outlineLevel="0" collapsed="false">
      <c r="A22" s="6" t="n">
        <v>5776</v>
      </c>
      <c r="B22" s="7" t="s">
        <v>75</v>
      </c>
      <c r="C22" s="7" t="s">
        <v>66</v>
      </c>
      <c r="D22" s="7" t="s">
        <v>90</v>
      </c>
      <c r="E22" s="7" t="n">
        <v>3</v>
      </c>
      <c r="F22" s="7" t="n">
        <v>7</v>
      </c>
      <c r="G22" s="8" t="n">
        <v>7025</v>
      </c>
      <c r="H22" s="9"/>
      <c r="I22" s="10" t="str">
        <f aca="false">IF(H22="","",H22-G22)</f>
        <v/>
      </c>
      <c r="J22" s="8" t="n">
        <v>4224.49</v>
      </c>
      <c r="K22" s="9"/>
      <c r="L22" s="10" t="str">
        <f aca="false">IF(K22="","",K22-J22)</f>
        <v/>
      </c>
      <c r="M22" s="8" t="n">
        <v>1203.89</v>
      </c>
      <c r="N22" s="9"/>
      <c r="O22" s="10" t="str">
        <f aca="false">IF(N22="","",N22-M22)</f>
        <v/>
      </c>
      <c r="P22" s="8" t="n">
        <v>100</v>
      </c>
      <c r="Q22" s="9"/>
      <c r="R22" s="10" t="str">
        <f aca="false">IF(Q22="","",Q22-P22)</f>
        <v/>
      </c>
      <c r="S22" s="8" t="n">
        <v>61.5</v>
      </c>
      <c r="T22" s="9"/>
      <c r="U22" s="10" t="str">
        <f aca="false">IF(T22="","",T22-S22)</f>
        <v/>
      </c>
      <c r="V22" s="8" t="n">
        <v>-85</v>
      </c>
      <c r="W22" s="9"/>
      <c r="X22" s="10" t="str">
        <f aca="false">IF(W22="","",W22-V22)</f>
        <v/>
      </c>
      <c r="Y22" s="8" t="n">
        <v>1280.39</v>
      </c>
      <c r="Z22" s="9"/>
      <c r="AA22" s="10" t="str">
        <f aca="false">IF(Z22="","",Z22-Y22)</f>
        <v/>
      </c>
      <c r="AB22" s="11" t="str">
        <f aca="false">IF(COUNT(H22,K22,N22,Q22,T22,W22,Z22)=0,"not entered",IF(ABS(N(I22))+ABS(N(L22))+ABS(N(O22))+ABS(N(R22))+ABS(N(U22))+ABS(N(X22))+ABS(N(AA22))&lt;0.005,"OK","CHECK"))</f>
        <v>not entered</v>
      </c>
    </row>
    <row r="23" customFormat="false" ht="15" hidden="false" customHeight="false" outlineLevel="0" collapsed="false">
      <c r="A23" s="6" t="n">
        <v>5777</v>
      </c>
      <c r="B23" s="7" t="s">
        <v>61</v>
      </c>
      <c r="C23" s="7" t="s">
        <v>72</v>
      </c>
      <c r="D23" s="7" t="s">
        <v>84</v>
      </c>
      <c r="E23" s="7" t="n">
        <v>2</v>
      </c>
      <c r="F23" s="7" t="n">
        <v>4</v>
      </c>
      <c r="G23" s="8" t="n">
        <v>8400</v>
      </c>
      <c r="H23" s="9"/>
      <c r="I23" s="10" t="str">
        <f aca="false">IF(H23="","",H23-G23)</f>
        <v/>
      </c>
      <c r="J23" s="8" t="n">
        <v>3369.65</v>
      </c>
      <c r="K23" s="9"/>
      <c r="L23" s="10" t="str">
        <f aca="false">IF(K23="","",K23-J23)</f>
        <v/>
      </c>
      <c r="M23" s="8" t="n">
        <v>1908</v>
      </c>
      <c r="N23" s="9"/>
      <c r="O23" s="10" t="str">
        <f aca="false">IF(N23="","",N23-M23)</f>
        <v/>
      </c>
      <c r="P23" s="8" t="n">
        <v>50</v>
      </c>
      <c r="Q23" s="9"/>
      <c r="R23" s="10" t="str">
        <f aca="false">IF(Q23="","",Q23-P23)</f>
        <v/>
      </c>
      <c r="S23" s="8"/>
      <c r="T23" s="9"/>
      <c r="U23" s="10" t="str">
        <f aca="false">IF(T23="","",T23-S23)</f>
        <v/>
      </c>
      <c r="V23" s="8" t="n">
        <v>-10</v>
      </c>
      <c r="W23" s="9"/>
      <c r="X23" s="10" t="str">
        <f aca="false">IF(W23="","",W23-V23)</f>
        <v/>
      </c>
      <c r="Y23" s="8" t="n">
        <v>1948</v>
      </c>
      <c r="Z23" s="9"/>
      <c r="AA23" s="10" t="str">
        <f aca="false">IF(Z23="","",Z23-Y23)</f>
        <v/>
      </c>
      <c r="AB23" s="11" t="str">
        <f aca="false">IF(COUNT(H23,K23,N23,Q23,T23,W23,Z23)=0,"not entered",IF(ABS(N(I23))+ABS(N(L23))+ABS(N(O23))+ABS(N(R23))+ABS(N(U23))+ABS(N(X23))+ABS(N(AA23))&lt;0.005,"OK","CHECK"))</f>
        <v>not entered</v>
      </c>
    </row>
    <row r="24" customFormat="false" ht="15" hidden="false" customHeight="false" outlineLevel="0" collapsed="false">
      <c r="A24" s="6" t="n">
        <v>5778</v>
      </c>
      <c r="B24" s="7" t="s">
        <v>61</v>
      </c>
      <c r="C24" s="7" t="s">
        <v>80</v>
      </c>
      <c r="D24" s="7" t="s">
        <v>81</v>
      </c>
      <c r="E24" s="7" t="n">
        <v>2</v>
      </c>
      <c r="F24" s="7" t="n">
        <v>5</v>
      </c>
      <c r="G24" s="8" t="n">
        <v>4200</v>
      </c>
      <c r="H24" s="9"/>
      <c r="I24" s="10" t="str">
        <f aca="false">IF(H24="","",H24-G24)</f>
        <v/>
      </c>
      <c r="J24" s="8" t="n">
        <v>3557.34</v>
      </c>
      <c r="K24" s="9"/>
      <c r="L24" s="10" t="str">
        <f aca="false">IF(K24="","",K24-J24)</f>
        <v/>
      </c>
      <c r="M24" s="8" t="n">
        <v>1440.01</v>
      </c>
      <c r="N24" s="9"/>
      <c r="O24" s="10" t="str">
        <f aca="false">IF(N24="","",N24-M24)</f>
        <v/>
      </c>
      <c r="P24" s="8" t="n">
        <v>50</v>
      </c>
      <c r="Q24" s="9"/>
      <c r="R24" s="10" t="str">
        <f aca="false">IF(Q24="","",Q24-P24)</f>
        <v/>
      </c>
      <c r="S24" s="8" t="n">
        <v>15.25</v>
      </c>
      <c r="T24" s="9"/>
      <c r="U24" s="10" t="str">
        <f aca="false">IF(T24="","",T24-S24)</f>
        <v/>
      </c>
      <c r="V24" s="8" t="n">
        <v>-260</v>
      </c>
      <c r="W24" s="9"/>
      <c r="X24" s="10" t="str">
        <f aca="false">IF(W24="","",W24-V24)</f>
        <v/>
      </c>
      <c r="Y24" s="8" t="n">
        <v>1245.26</v>
      </c>
      <c r="Z24" s="9"/>
      <c r="AA24" s="10" t="str">
        <f aca="false">IF(Z24="","",Z24-Y24)</f>
        <v/>
      </c>
      <c r="AB24" s="11" t="str">
        <f aca="false">IF(COUNT(H24,K24,N24,Q24,T24,W24,Z24)=0,"not entered",IF(ABS(N(I24))+ABS(N(L24))+ABS(N(O24))+ABS(N(R24))+ABS(N(U24))+ABS(N(X24))+ABS(N(AA24))&lt;0.005,"OK","CHECK"))</f>
        <v>not entered</v>
      </c>
    </row>
    <row r="25" customFormat="false" ht="15" hidden="false" customHeight="false" outlineLevel="0" collapsed="false">
      <c r="A25" s="6" t="n">
        <v>5779</v>
      </c>
      <c r="B25" s="7" t="s">
        <v>61</v>
      </c>
      <c r="C25" s="7" t="s">
        <v>91</v>
      </c>
      <c r="D25" s="7" t="s">
        <v>92</v>
      </c>
      <c r="E25" s="7" t="n">
        <v>2</v>
      </c>
      <c r="F25" s="7" t="n">
        <v>6</v>
      </c>
      <c r="G25" s="8" t="n">
        <v>6500</v>
      </c>
      <c r="H25" s="9"/>
      <c r="I25" s="10" t="str">
        <f aca="false">IF(H25="","",H25-G25)</f>
        <v/>
      </c>
      <c r="J25" s="8" t="n">
        <v>3299.57</v>
      </c>
      <c r="K25" s="9"/>
      <c r="L25" s="10" t="str">
        <f aca="false">IF(K25="","",K25-J25)</f>
        <v/>
      </c>
      <c r="M25" s="8" t="n">
        <v>1420.66</v>
      </c>
      <c r="N25" s="9"/>
      <c r="O25" s="10" t="str">
        <f aca="false">IF(N25="","",N25-M25)</f>
        <v/>
      </c>
      <c r="P25" s="8" t="n">
        <v>27</v>
      </c>
      <c r="Q25" s="9"/>
      <c r="R25" s="10" t="str">
        <f aca="false">IF(Q25="","",Q25-P25)</f>
        <v/>
      </c>
      <c r="S25" s="8"/>
      <c r="T25" s="9"/>
      <c r="U25" s="10" t="str">
        <f aca="false">IF(T25="","",T25-S25)</f>
        <v/>
      </c>
      <c r="V25" s="8" t="n">
        <v>-60</v>
      </c>
      <c r="W25" s="9"/>
      <c r="X25" s="10" t="str">
        <f aca="false">IF(W25="","",W25-V25)</f>
        <v/>
      </c>
      <c r="Y25" s="8" t="n">
        <v>1387.66</v>
      </c>
      <c r="Z25" s="9"/>
      <c r="AA25" s="10" t="str">
        <f aca="false">IF(Z25="","",Z25-Y25)</f>
        <v/>
      </c>
      <c r="AB25" s="11" t="str">
        <f aca="false">IF(COUNT(H25,K25,N25,Q25,T25,W25,Z25)=0,"not entered",IF(ABS(N(I25))+ABS(N(L25))+ABS(N(O25))+ABS(N(R25))+ABS(N(U25))+ABS(N(X25))+ABS(N(AA25))&lt;0.005,"OK","CHECK"))</f>
        <v>not entered</v>
      </c>
    </row>
    <row r="26" customFormat="false" ht="15" hidden="false" customHeight="false" outlineLevel="0" collapsed="false">
      <c r="A26" s="6" t="n">
        <v>5780</v>
      </c>
      <c r="B26" s="7" t="s">
        <v>75</v>
      </c>
      <c r="C26" s="7" t="s">
        <v>76</v>
      </c>
      <c r="D26" s="7" t="s">
        <v>77</v>
      </c>
      <c r="E26" s="7" t="n">
        <v>2</v>
      </c>
      <c r="F26" s="7" t="n">
        <v>1</v>
      </c>
      <c r="G26" s="8" t="n">
        <v>2500</v>
      </c>
      <c r="H26" s="9"/>
      <c r="I26" s="10" t="str">
        <f aca="false">IF(H26="","",H26-G26)</f>
        <v/>
      </c>
      <c r="J26" s="8" t="n">
        <v>843.76</v>
      </c>
      <c r="K26" s="9"/>
      <c r="L26" s="10" t="str">
        <f aca="false">IF(K26="","",K26-J26)</f>
        <v/>
      </c>
      <c r="M26" s="8"/>
      <c r="N26" s="9"/>
      <c r="O26" s="10" t="str">
        <f aca="false">IF(N26="","",N26-M26)</f>
        <v/>
      </c>
      <c r="P26" s="8"/>
      <c r="Q26" s="9"/>
      <c r="R26" s="10" t="str">
        <f aca="false">IF(Q26="","",Q26-P26)</f>
        <v/>
      </c>
      <c r="S26" s="8"/>
      <c r="T26" s="9"/>
      <c r="U26" s="10" t="str">
        <f aca="false">IF(T26="","",T26-S26)</f>
        <v/>
      </c>
      <c r="V26" s="8"/>
      <c r="W26" s="9"/>
      <c r="X26" s="10" t="str">
        <f aca="false">IF(W26="","",W26-V26)</f>
        <v/>
      </c>
      <c r="Y26" s="8" t="n">
        <v>300</v>
      </c>
      <c r="Z26" s="9"/>
      <c r="AA26" s="10" t="str">
        <f aca="false">IF(Z26="","",Z26-Y26)</f>
        <v/>
      </c>
      <c r="AB26" s="11" t="str">
        <f aca="false">IF(COUNT(H26,K26,N26,Q26,T26,W26,Z26)=0,"not entered",IF(ABS(N(I26))+ABS(N(L26))+ABS(N(O26))+ABS(N(R26))+ABS(N(U26))+ABS(N(X26))+ABS(N(AA26))&lt;0.005,"OK","CHECK"))</f>
        <v>not entered</v>
      </c>
    </row>
    <row r="27" customFormat="false" ht="15" hidden="false" customHeight="false" outlineLevel="0" collapsed="false">
      <c r="A27" s="6" t="n">
        <v>5781</v>
      </c>
      <c r="B27" s="7" t="s">
        <v>61</v>
      </c>
      <c r="C27" s="7" t="s">
        <v>66</v>
      </c>
      <c r="D27" s="7" t="s">
        <v>93</v>
      </c>
      <c r="E27" s="7" t="n">
        <v>2</v>
      </c>
      <c r="F27" s="7" t="n">
        <v>5</v>
      </c>
      <c r="G27" s="8" t="n">
        <v>6700</v>
      </c>
      <c r="H27" s="9"/>
      <c r="I27" s="10" t="str">
        <f aca="false">IF(H27="","",H27-G27)</f>
        <v/>
      </c>
      <c r="J27" s="8" t="n">
        <v>2385.97</v>
      </c>
      <c r="K27" s="9"/>
      <c r="L27" s="10" t="str">
        <f aca="false">IF(K27="","",K27-J27)</f>
        <v/>
      </c>
      <c r="M27" s="8" t="n">
        <v>1280.31</v>
      </c>
      <c r="N27" s="9"/>
      <c r="O27" s="10" t="str">
        <f aca="false">IF(N27="","",N27-M27)</f>
        <v/>
      </c>
      <c r="P27" s="8"/>
      <c r="Q27" s="9"/>
      <c r="R27" s="10" t="str">
        <f aca="false">IF(Q27="","",Q27-P27)</f>
        <v/>
      </c>
      <c r="S27" s="8"/>
      <c r="T27" s="9"/>
      <c r="U27" s="10" t="str">
        <f aca="false">IF(T27="","",T27-S27)</f>
        <v/>
      </c>
      <c r="V27" s="8" t="n">
        <v>-60</v>
      </c>
      <c r="W27" s="9"/>
      <c r="X27" s="10" t="str">
        <f aca="false">IF(W27="","",W27-V27)</f>
        <v/>
      </c>
      <c r="Y27" s="8" t="n">
        <v>1220.31</v>
      </c>
      <c r="Z27" s="9"/>
      <c r="AA27" s="10" t="str">
        <f aca="false">IF(Z27="","",Z27-Y27)</f>
        <v/>
      </c>
      <c r="AB27" s="11" t="str">
        <f aca="false">IF(COUNT(H27,K27,N27,Q27,T27,W27,Z27)=0,"not entered",IF(ABS(N(I27))+ABS(N(L27))+ABS(N(O27))+ABS(N(R27))+ABS(N(U27))+ABS(N(X27))+ABS(N(AA27))&lt;0.005,"OK","CHECK"))</f>
        <v>not entered</v>
      </c>
    </row>
    <row r="28" customFormat="false" ht="15" hidden="false" customHeight="false" outlineLevel="0" collapsed="false">
      <c r="A28" s="6" t="n">
        <v>5782</v>
      </c>
      <c r="B28" s="7" t="s">
        <v>61</v>
      </c>
      <c r="C28" s="7" t="s">
        <v>80</v>
      </c>
      <c r="D28" s="7" t="s">
        <v>81</v>
      </c>
      <c r="E28" s="7" t="n">
        <v>2</v>
      </c>
      <c r="F28" s="7" t="n">
        <v>4</v>
      </c>
      <c r="G28" s="8" t="n">
        <v>7020</v>
      </c>
      <c r="H28" s="9"/>
      <c r="I28" s="10" t="str">
        <f aca="false">IF(H28="","",H28-G28)</f>
        <v/>
      </c>
      <c r="J28" s="8" t="n">
        <v>3301.67</v>
      </c>
      <c r="K28" s="9"/>
      <c r="L28" s="10" t="str">
        <f aca="false">IF(K28="","",K28-J28)</f>
        <v/>
      </c>
      <c r="M28" s="8" t="n">
        <v>1489.11</v>
      </c>
      <c r="N28" s="9"/>
      <c r="O28" s="10" t="str">
        <f aca="false">IF(N28="","",N28-M28)</f>
        <v/>
      </c>
      <c r="P28" s="8" t="n">
        <v>25</v>
      </c>
      <c r="Q28" s="9"/>
      <c r="R28" s="10" t="str">
        <f aca="false">IF(Q28="","",Q28-P28)</f>
        <v/>
      </c>
      <c r="S28" s="8" t="n">
        <v>18</v>
      </c>
      <c r="T28" s="9"/>
      <c r="U28" s="10" t="str">
        <f aca="false">IF(T28="","",T28-S28)</f>
        <v/>
      </c>
      <c r="V28" s="8" t="n">
        <v>-75.25</v>
      </c>
      <c r="W28" s="9"/>
      <c r="X28" s="10" t="str">
        <f aca="false">IF(W28="","",W28-V28)</f>
        <v/>
      </c>
      <c r="Y28" s="8" t="n">
        <v>1456.86</v>
      </c>
      <c r="Z28" s="9"/>
      <c r="AA28" s="10" t="str">
        <f aca="false">IF(Z28="","",Z28-Y28)</f>
        <v/>
      </c>
      <c r="AB28" s="11" t="str">
        <f aca="false">IF(COUNT(H28,K28,N28,Q28,T28,W28,Z28)=0,"not entered",IF(ABS(N(I28))+ABS(N(L28))+ABS(N(O28))+ABS(N(R28))+ABS(N(U28))+ABS(N(X28))+ABS(N(AA28))&lt;0.005,"OK","CHECK"))</f>
        <v>not entered</v>
      </c>
    </row>
    <row r="29" customFormat="false" ht="15" hidden="false" customHeight="false" outlineLevel="0" collapsed="false">
      <c r="A29" s="6" t="n">
        <v>5783</v>
      </c>
      <c r="B29" s="7" t="s">
        <v>75</v>
      </c>
      <c r="C29" s="7" t="s">
        <v>72</v>
      </c>
      <c r="D29" s="7" t="s">
        <v>84</v>
      </c>
      <c r="E29" s="7" t="n">
        <v>2</v>
      </c>
      <c r="F29" s="7" t="n">
        <v>4</v>
      </c>
      <c r="G29" s="8" t="n">
        <v>8200</v>
      </c>
      <c r="H29" s="9"/>
      <c r="I29" s="10" t="str">
        <f aca="false">IF(H29="","",H29-G29)</f>
        <v/>
      </c>
      <c r="J29" s="8" t="n">
        <v>3539.69</v>
      </c>
      <c r="K29" s="9"/>
      <c r="L29" s="10" t="str">
        <f aca="false">IF(K29="","",K29-J29)</f>
        <v/>
      </c>
      <c r="M29" s="8" t="n">
        <v>1906.25</v>
      </c>
      <c r="N29" s="9"/>
      <c r="O29" s="10" t="str">
        <f aca="false">IF(N29="","",N29-M29)</f>
        <v/>
      </c>
      <c r="P29" s="8" t="n">
        <v>175</v>
      </c>
      <c r="Q29" s="9"/>
      <c r="R29" s="10" t="str">
        <f aca="false">IF(Q29="","",Q29-P29)</f>
        <v/>
      </c>
      <c r="S29" s="8"/>
      <c r="T29" s="9"/>
      <c r="U29" s="10" t="str">
        <f aca="false">IF(T29="","",T29-S29)</f>
        <v/>
      </c>
      <c r="V29" s="8" t="n">
        <v>-10</v>
      </c>
      <c r="W29" s="9"/>
      <c r="X29" s="10" t="str">
        <f aca="false">IF(W29="","",W29-V29)</f>
        <v/>
      </c>
      <c r="Y29" s="8" t="n">
        <v>2071.25</v>
      </c>
      <c r="Z29" s="9"/>
      <c r="AA29" s="10" t="str">
        <f aca="false">IF(Z29="","",Z29-Y29)</f>
        <v/>
      </c>
      <c r="AB29" s="11" t="str">
        <f aca="false">IF(COUNT(H29,K29,N29,Q29,T29,W29,Z29)=0,"not entered",IF(ABS(N(I29))+ABS(N(L29))+ABS(N(O29))+ABS(N(R29))+ABS(N(U29))+ABS(N(X29))+ABS(N(AA29))&lt;0.005,"OK","CHECK"))</f>
        <v>not entered</v>
      </c>
    </row>
    <row r="30" customFormat="false" ht="15" hidden="false" customHeight="false" outlineLevel="0" collapsed="false">
      <c r="A30" s="6" t="n">
        <v>5784</v>
      </c>
      <c r="B30" s="7" t="s">
        <v>75</v>
      </c>
      <c r="C30" s="7" t="s">
        <v>78</v>
      </c>
      <c r="D30" s="7" t="s">
        <v>67</v>
      </c>
      <c r="E30" s="7" t="n">
        <v>3</v>
      </c>
      <c r="F30" s="7" t="n">
        <v>8</v>
      </c>
      <c r="G30" s="8" t="n">
        <v>10600</v>
      </c>
      <c r="H30" s="9"/>
      <c r="I30" s="10" t="str">
        <f aca="false">IF(H30="","",H30-G30)</f>
        <v/>
      </c>
      <c r="J30" s="8" t="n">
        <v>5547.73</v>
      </c>
      <c r="K30" s="9"/>
      <c r="L30" s="10" t="str">
        <f aca="false">IF(K30="","",K30-J30)</f>
        <v/>
      </c>
      <c r="M30" s="8" t="n">
        <v>1662.94</v>
      </c>
      <c r="N30" s="9"/>
      <c r="O30" s="10" t="str">
        <f aca="false">IF(N30="","",N30-M30)</f>
        <v/>
      </c>
      <c r="P30" s="8" t="n">
        <v>25</v>
      </c>
      <c r="Q30" s="9"/>
      <c r="R30" s="10" t="str">
        <f aca="false">IF(Q30="","",Q30-P30)</f>
        <v/>
      </c>
      <c r="S30" s="8" t="n">
        <v>149.34</v>
      </c>
      <c r="T30" s="9"/>
      <c r="U30" s="10" t="str">
        <f aca="false">IF(T30="","",T30-S30)</f>
        <v/>
      </c>
      <c r="V30" s="8" t="n">
        <v>-85</v>
      </c>
      <c r="W30" s="9"/>
      <c r="X30" s="10" t="str">
        <f aca="false">IF(W30="","",W30-V30)</f>
        <v/>
      </c>
      <c r="Y30" s="8" t="n">
        <v>1752.28</v>
      </c>
      <c r="Z30" s="9"/>
      <c r="AA30" s="10" t="str">
        <f aca="false">IF(Z30="","",Z30-Y30)</f>
        <v/>
      </c>
      <c r="AB30" s="11" t="str">
        <f aca="false">IF(COUNT(H30,K30,N30,Q30,T30,W30,Z30)=0,"not entered",IF(ABS(N(I30))+ABS(N(L30))+ABS(N(O30))+ABS(N(R30))+ABS(N(U30))+ABS(N(X30))+ABS(N(AA30))&lt;0.005,"OK","CHECK"))</f>
        <v>not entered</v>
      </c>
    </row>
    <row r="31" customFormat="false" ht="15" hidden="false" customHeight="false" outlineLevel="0" collapsed="false">
      <c r="A31" s="6" t="n">
        <v>5785</v>
      </c>
      <c r="B31" s="7" t="s">
        <v>61</v>
      </c>
      <c r="C31" s="7" t="s">
        <v>94</v>
      </c>
      <c r="D31" s="7" t="s">
        <v>86</v>
      </c>
      <c r="E31" s="7" t="n">
        <v>3</v>
      </c>
      <c r="F31" s="7" t="n">
        <v>6</v>
      </c>
      <c r="G31" s="8" t="n">
        <v>7600</v>
      </c>
      <c r="H31" s="9"/>
      <c r="I31" s="10" t="str">
        <f aca="false">IF(H31="","",H31-G31)</f>
        <v/>
      </c>
      <c r="J31" s="8" t="n">
        <v>4570.14</v>
      </c>
      <c r="K31" s="9"/>
      <c r="L31" s="10" t="str">
        <f aca="false">IF(K31="","",K31-J31)</f>
        <v/>
      </c>
      <c r="M31" s="8" t="n">
        <v>1523.67</v>
      </c>
      <c r="N31" s="9"/>
      <c r="O31" s="10" t="str">
        <f aca="false">IF(N31="","",N31-M31)</f>
        <v/>
      </c>
      <c r="P31" s="8" t="n">
        <v>100</v>
      </c>
      <c r="Q31" s="9"/>
      <c r="R31" s="10" t="str">
        <f aca="false">IF(Q31="","",Q31-P31)</f>
        <v/>
      </c>
      <c r="S31" s="8" t="n">
        <v>10</v>
      </c>
      <c r="T31" s="9"/>
      <c r="U31" s="10" t="str">
        <f aca="false">IF(T31="","",T31-S31)</f>
        <v/>
      </c>
      <c r="V31" s="8" t="n">
        <v>-386.99</v>
      </c>
      <c r="W31" s="9"/>
      <c r="X31" s="10" t="str">
        <f aca="false">IF(W31="","",W31-V31)</f>
        <v/>
      </c>
      <c r="Y31" s="8" t="n">
        <v>1246.68</v>
      </c>
      <c r="Z31" s="9"/>
      <c r="AA31" s="10" t="str">
        <f aca="false">IF(Z31="","",Z31-Y31)</f>
        <v/>
      </c>
      <c r="AB31" s="11" t="str">
        <f aca="false">IF(COUNT(H31,K31,N31,Q31,T31,W31,Z31)=0,"not entered",IF(ABS(N(I31))+ABS(N(L31))+ABS(N(O31))+ABS(N(R31))+ABS(N(U31))+ABS(N(X31))+ABS(N(AA31))&lt;0.005,"OK","CHECK"))</f>
        <v>not entered</v>
      </c>
    </row>
    <row r="32" customFormat="false" ht="15" hidden="false" customHeight="false" outlineLevel="0" collapsed="false">
      <c r="A32" s="6" t="n">
        <v>5786</v>
      </c>
      <c r="B32" s="7" t="s">
        <v>61</v>
      </c>
      <c r="C32" s="7" t="s">
        <v>87</v>
      </c>
      <c r="D32" s="7" t="s">
        <v>88</v>
      </c>
      <c r="E32" s="7" t="n">
        <v>2</v>
      </c>
      <c r="F32" s="7" t="n">
        <v>4</v>
      </c>
      <c r="G32" s="8" t="n">
        <v>5750</v>
      </c>
      <c r="H32" s="9"/>
      <c r="I32" s="10" t="str">
        <f aca="false">IF(H32="","",H32-G32)</f>
        <v/>
      </c>
      <c r="J32" s="8" t="n">
        <v>2418.24</v>
      </c>
      <c r="K32" s="9"/>
      <c r="L32" s="10" t="str">
        <f aca="false">IF(K32="","",K32-J32)</f>
        <v/>
      </c>
      <c r="M32" s="8" t="n">
        <v>1039.05</v>
      </c>
      <c r="N32" s="9"/>
      <c r="O32" s="10" t="str">
        <f aca="false">IF(N32="","",N32-M32)</f>
        <v/>
      </c>
      <c r="P32" s="8"/>
      <c r="Q32" s="9"/>
      <c r="R32" s="10" t="str">
        <f aca="false">IF(Q32="","",Q32-P32)</f>
        <v/>
      </c>
      <c r="S32" s="8"/>
      <c r="T32" s="9"/>
      <c r="U32" s="10" t="str">
        <f aca="false">IF(T32="","",T32-S32)</f>
        <v/>
      </c>
      <c r="V32" s="8"/>
      <c r="W32" s="9"/>
      <c r="X32" s="10" t="str">
        <f aca="false">IF(W32="","",W32-V32)</f>
        <v/>
      </c>
      <c r="Y32" s="8" t="n">
        <v>1039.05</v>
      </c>
      <c r="Z32" s="9"/>
      <c r="AA32" s="10" t="str">
        <f aca="false">IF(Z32="","",Z32-Y32)</f>
        <v/>
      </c>
      <c r="AB32" s="11" t="str">
        <f aca="false">IF(COUNT(H32,K32,N32,Q32,T32,W32,Z32)=0,"not entered",IF(ABS(N(I32))+ABS(N(L32))+ABS(N(O32))+ABS(N(R32))+ABS(N(U32))+ABS(N(X32))+ABS(N(AA32))&lt;0.005,"OK","CHECK"))</f>
        <v>not entered</v>
      </c>
    </row>
    <row r="33" customFormat="false" ht="15" hidden="false" customHeight="false" outlineLevel="0" collapsed="false">
      <c r="A33" s="6" t="n">
        <v>5787</v>
      </c>
      <c r="B33" s="7" t="s">
        <v>61</v>
      </c>
      <c r="C33" s="7" t="s">
        <v>89</v>
      </c>
      <c r="D33" s="7" t="s">
        <v>71</v>
      </c>
      <c r="E33" s="7" t="n">
        <v>2</v>
      </c>
      <c r="F33" s="7" t="n">
        <v>3</v>
      </c>
      <c r="G33" s="8" t="n">
        <v>4180</v>
      </c>
      <c r="H33" s="9"/>
      <c r="I33" s="10" t="str">
        <f aca="false">IF(H33="","",H33-G33)</f>
        <v/>
      </c>
      <c r="J33" s="8" t="n">
        <v>1990.55</v>
      </c>
      <c r="K33" s="9"/>
      <c r="L33" s="10" t="str">
        <f aca="false">IF(K33="","",K33-J33)</f>
        <v/>
      </c>
      <c r="M33" s="8" t="n">
        <v>1000.72</v>
      </c>
      <c r="N33" s="9"/>
      <c r="O33" s="10" t="str">
        <f aca="false">IF(N33="","",N33-M33)</f>
        <v/>
      </c>
      <c r="P33" s="8" t="n">
        <v>75</v>
      </c>
      <c r="Q33" s="9"/>
      <c r="R33" s="10" t="str">
        <f aca="false">IF(Q33="","",Q33-P33)</f>
        <v/>
      </c>
      <c r="S33" s="8" t="n">
        <v>22</v>
      </c>
      <c r="T33" s="9"/>
      <c r="U33" s="10" t="str">
        <f aca="false">IF(T33="","",T33-S33)</f>
        <v/>
      </c>
      <c r="V33" s="8" t="n">
        <v>-211.99</v>
      </c>
      <c r="W33" s="9"/>
      <c r="X33" s="10" t="str">
        <f aca="false">IF(W33="","",W33-V33)</f>
        <v/>
      </c>
      <c r="Y33" s="8" t="n">
        <v>885.73</v>
      </c>
      <c r="Z33" s="9"/>
      <c r="AA33" s="10" t="str">
        <f aca="false">IF(Z33="","",Z33-Y33)</f>
        <v/>
      </c>
      <c r="AB33" s="11" t="str">
        <f aca="false">IF(COUNT(H33,K33,N33,Q33,T33,W33,Z33)=0,"not entered",IF(ABS(N(I33))+ABS(N(L33))+ABS(N(O33))+ABS(N(R33))+ABS(N(U33))+ABS(N(X33))+ABS(N(AA33))&lt;0.005,"OK","CHECK"))</f>
        <v>not entered</v>
      </c>
    </row>
    <row r="34" customFormat="false" ht="15" hidden="false" customHeight="false" outlineLevel="0" collapsed="false">
      <c r="A34" s="6" t="n">
        <v>5788</v>
      </c>
      <c r="B34" s="7" t="s">
        <v>61</v>
      </c>
      <c r="C34" s="7" t="s">
        <v>82</v>
      </c>
      <c r="D34" s="7" t="s">
        <v>83</v>
      </c>
      <c r="E34" s="7" t="n">
        <v>3</v>
      </c>
      <c r="F34" s="7" t="n">
        <v>8</v>
      </c>
      <c r="G34" s="8" t="n">
        <v>8960</v>
      </c>
      <c r="H34" s="9"/>
      <c r="I34" s="10" t="str">
        <f aca="false">IF(H34="","",H34-G34)</f>
        <v/>
      </c>
      <c r="J34" s="8" t="n">
        <v>4671.26</v>
      </c>
      <c r="K34" s="9"/>
      <c r="L34" s="10" t="str">
        <f aca="false">IF(K34="","",K34-J34)</f>
        <v/>
      </c>
      <c r="M34" s="8" t="n">
        <v>1725.89</v>
      </c>
      <c r="N34" s="9"/>
      <c r="O34" s="10" t="str">
        <f aca="false">IF(N34="","",N34-M34)</f>
        <v/>
      </c>
      <c r="P34" s="8"/>
      <c r="Q34" s="9"/>
      <c r="R34" s="10" t="str">
        <f aca="false">IF(Q34="","",Q34-P34)</f>
        <v/>
      </c>
      <c r="S34" s="8"/>
      <c r="T34" s="9"/>
      <c r="U34" s="10" t="str">
        <f aca="false">IF(T34="","",T34-S34)</f>
        <v/>
      </c>
      <c r="V34" s="8" t="n">
        <v>-451.99</v>
      </c>
      <c r="W34" s="9"/>
      <c r="X34" s="10" t="str">
        <f aca="false">IF(W34="","",W34-V34)</f>
        <v/>
      </c>
      <c r="Y34" s="8" t="n">
        <v>1273.9</v>
      </c>
      <c r="Z34" s="9"/>
      <c r="AA34" s="10" t="str">
        <f aca="false">IF(Z34="","",Z34-Y34)</f>
        <v/>
      </c>
      <c r="AB34" s="11" t="str">
        <f aca="false">IF(COUNT(H34,K34,N34,Q34,T34,W34,Z34)=0,"not entered",IF(ABS(N(I34))+ABS(N(L34))+ABS(N(O34))+ABS(N(R34))+ABS(N(U34))+ABS(N(X34))+ABS(N(AA34))&lt;0.005,"OK","CHECK"))</f>
        <v>not entered</v>
      </c>
    </row>
    <row r="35" customFormat="false" ht="15" hidden="false" customHeight="false" outlineLevel="0" collapsed="false">
      <c r="A35" s="6" t="n">
        <v>5789</v>
      </c>
      <c r="B35" s="7" t="s">
        <v>61</v>
      </c>
      <c r="C35" s="7" t="s">
        <v>72</v>
      </c>
      <c r="D35" s="7" t="s">
        <v>84</v>
      </c>
      <c r="E35" s="7" t="n">
        <v>2</v>
      </c>
      <c r="F35" s="7" t="n">
        <v>5</v>
      </c>
      <c r="G35" s="8" t="n">
        <v>8800</v>
      </c>
      <c r="H35" s="9"/>
      <c r="I35" s="10" t="str">
        <f aca="false">IF(H35="","",H35-G35)</f>
        <v/>
      </c>
      <c r="J35" s="8" t="n">
        <v>3799.29</v>
      </c>
      <c r="K35" s="9"/>
      <c r="L35" s="10" t="str">
        <f aca="false">IF(K35="","",K35-J35)</f>
        <v/>
      </c>
      <c r="M35" s="8" t="n">
        <v>1925.85</v>
      </c>
      <c r="N35" s="9"/>
      <c r="O35" s="10" t="str">
        <f aca="false">IF(N35="","",N35-M35)</f>
        <v/>
      </c>
      <c r="P35" s="8" t="n">
        <v>100</v>
      </c>
      <c r="Q35" s="9"/>
      <c r="R35" s="10" t="str">
        <f aca="false">IF(Q35="","",Q35-P35)</f>
        <v/>
      </c>
      <c r="S35" s="8"/>
      <c r="T35" s="9"/>
      <c r="U35" s="10" t="str">
        <f aca="false">IF(T35="","",T35-S35)</f>
        <v/>
      </c>
      <c r="V35" s="8" t="n">
        <v>-10</v>
      </c>
      <c r="W35" s="9"/>
      <c r="X35" s="10" t="str">
        <f aca="false">IF(W35="","",W35-V35)</f>
        <v/>
      </c>
      <c r="Y35" s="8" t="n">
        <v>2015.85</v>
      </c>
      <c r="Z35" s="9"/>
      <c r="AA35" s="10" t="str">
        <f aca="false">IF(Z35="","",Z35-Y35)</f>
        <v/>
      </c>
      <c r="AB35" s="11" t="str">
        <f aca="false">IF(COUNT(H35,K35,N35,Q35,T35,W35,Z35)=0,"not entered",IF(ABS(N(I35))+ABS(N(L35))+ABS(N(O35))+ABS(N(R35))+ABS(N(U35))+ABS(N(X35))+ABS(N(AA35))&lt;0.005,"OK","CHECK"))</f>
        <v>not entered</v>
      </c>
    </row>
    <row r="36" customFormat="false" ht="15" hidden="false" customHeight="false" outlineLevel="0" collapsed="false">
      <c r="A36" s="6" t="n">
        <v>5790</v>
      </c>
      <c r="B36" s="7" t="s">
        <v>61</v>
      </c>
      <c r="C36" s="7" t="s">
        <v>66</v>
      </c>
      <c r="D36" s="7" t="s">
        <v>93</v>
      </c>
      <c r="E36" s="7" t="n">
        <v>2</v>
      </c>
      <c r="F36" s="7" t="n">
        <v>6</v>
      </c>
      <c r="G36" s="8" t="n">
        <v>4000</v>
      </c>
      <c r="H36" s="9"/>
      <c r="I36" s="10" t="str">
        <f aca="false">IF(H36="","",H36-G36)</f>
        <v/>
      </c>
      <c r="J36" s="8" t="n">
        <v>3806.68</v>
      </c>
      <c r="K36" s="9"/>
      <c r="L36" s="10" t="str">
        <f aca="false">IF(K36="","",K36-J36)</f>
        <v/>
      </c>
      <c r="M36" s="8" t="n">
        <v>1512.75</v>
      </c>
      <c r="N36" s="9"/>
      <c r="O36" s="10" t="str">
        <f aca="false">IF(N36="","",N36-M36)</f>
        <v/>
      </c>
      <c r="P36" s="8"/>
      <c r="Q36" s="9"/>
      <c r="R36" s="10" t="str">
        <f aca="false">IF(Q36="","",Q36-P36)</f>
        <v/>
      </c>
      <c r="S36" s="8"/>
      <c r="T36" s="9"/>
      <c r="U36" s="10" t="str">
        <f aca="false">IF(T36="","",T36-S36)</f>
        <v/>
      </c>
      <c r="V36" s="8" t="n">
        <v>-60</v>
      </c>
      <c r="W36" s="9"/>
      <c r="X36" s="10" t="str">
        <f aca="false">IF(W36="","",W36-V36)</f>
        <v/>
      </c>
      <c r="Y36" s="8" t="n">
        <v>1452.75</v>
      </c>
      <c r="Z36" s="9"/>
      <c r="AA36" s="10" t="str">
        <f aca="false">IF(Z36="","",Z36-Y36)</f>
        <v/>
      </c>
      <c r="AB36" s="11" t="str">
        <f aca="false">IF(COUNT(H36,K36,N36,Q36,T36,W36,Z36)=0,"not entered",IF(ABS(N(I36))+ABS(N(L36))+ABS(N(O36))+ABS(N(R36))+ABS(N(U36))+ABS(N(X36))+ABS(N(AA36))&lt;0.005,"OK","CHECK"))</f>
        <v>not entered</v>
      </c>
    </row>
    <row r="37" customFormat="false" ht="15" hidden="false" customHeight="false" outlineLevel="0" collapsed="false">
      <c r="A37" s="6" t="n">
        <v>5791</v>
      </c>
      <c r="B37" s="7" t="s">
        <v>61</v>
      </c>
      <c r="C37" s="7" t="s">
        <v>80</v>
      </c>
      <c r="D37" s="7" t="s">
        <v>81</v>
      </c>
      <c r="E37" s="7" t="n">
        <v>2</v>
      </c>
      <c r="F37" s="7" t="n">
        <v>5</v>
      </c>
      <c r="G37" s="8" t="n">
        <v>9200</v>
      </c>
      <c r="H37" s="9"/>
      <c r="I37" s="10" t="str">
        <f aca="false">IF(H37="","",H37-G37)</f>
        <v/>
      </c>
      <c r="J37" s="8" t="n">
        <v>3840.27</v>
      </c>
      <c r="K37" s="9"/>
      <c r="L37" s="10" t="str">
        <f aca="false">IF(K37="","",K37-J37)</f>
        <v/>
      </c>
      <c r="M37" s="8" t="n">
        <v>1690.03</v>
      </c>
      <c r="N37" s="9"/>
      <c r="O37" s="10" t="str">
        <f aca="false">IF(N37="","",N37-M37)</f>
        <v/>
      </c>
      <c r="P37" s="8"/>
      <c r="Q37" s="9"/>
      <c r="R37" s="10" t="str">
        <f aca="false">IF(Q37="","",Q37-P37)</f>
        <v/>
      </c>
      <c r="S37" s="8"/>
      <c r="T37" s="9"/>
      <c r="U37" s="10" t="str">
        <f aca="false">IF(T37="","",T37-S37)</f>
        <v/>
      </c>
      <c r="V37" s="8" t="n">
        <v>-60</v>
      </c>
      <c r="W37" s="9"/>
      <c r="X37" s="10" t="str">
        <f aca="false">IF(W37="","",W37-V37)</f>
        <v/>
      </c>
      <c r="Y37" s="8" t="n">
        <v>1630.03</v>
      </c>
      <c r="Z37" s="9"/>
      <c r="AA37" s="10" t="str">
        <f aca="false">IF(Z37="","",Z37-Y37)</f>
        <v/>
      </c>
      <c r="AB37" s="11" t="str">
        <f aca="false">IF(COUNT(H37,K37,N37,Q37,T37,W37,Z37)=0,"not entered",IF(ABS(N(I37))+ABS(N(L37))+ABS(N(O37))+ABS(N(R37))+ABS(N(U37))+ABS(N(X37))+ABS(N(AA37))&lt;0.005,"OK","CHECK"))</f>
        <v>not entered</v>
      </c>
    </row>
    <row r="38" customFormat="false" ht="15" hidden="false" customHeight="false" outlineLevel="0" collapsed="false">
      <c r="A38" s="6" t="n">
        <v>5792</v>
      </c>
      <c r="B38" s="7" t="s">
        <v>61</v>
      </c>
      <c r="C38" s="7" t="s">
        <v>94</v>
      </c>
      <c r="D38" s="7" t="s">
        <v>86</v>
      </c>
      <c r="E38" s="7" t="n">
        <v>3</v>
      </c>
      <c r="F38" s="7" t="n">
        <v>5</v>
      </c>
      <c r="G38" s="8" t="n">
        <v>9600</v>
      </c>
      <c r="H38" s="9"/>
      <c r="I38" s="10" t="str">
        <f aca="false">IF(H38="","",H38-G38)</f>
        <v/>
      </c>
      <c r="J38" s="8" t="n">
        <v>3792.7</v>
      </c>
      <c r="K38" s="9"/>
      <c r="L38" s="10" t="str">
        <f aca="false">IF(K38="","",K38-J38)</f>
        <v/>
      </c>
      <c r="M38" s="8" t="n">
        <v>1738.05</v>
      </c>
      <c r="N38" s="9"/>
      <c r="O38" s="10" t="str">
        <f aca="false">IF(N38="","",N38-M38)</f>
        <v/>
      </c>
      <c r="P38" s="8"/>
      <c r="Q38" s="9"/>
      <c r="R38" s="10" t="str">
        <f aca="false">IF(Q38="","",Q38-P38)</f>
        <v/>
      </c>
      <c r="S38" s="8"/>
      <c r="T38" s="9"/>
      <c r="U38" s="10" t="str">
        <f aca="false">IF(T38="","",T38-S38)</f>
        <v/>
      </c>
      <c r="V38" s="8" t="n">
        <v>-352</v>
      </c>
      <c r="W38" s="9"/>
      <c r="X38" s="10" t="str">
        <f aca="false">IF(W38="","",W38-V38)</f>
        <v/>
      </c>
      <c r="Y38" s="8" t="n">
        <v>1386.05</v>
      </c>
      <c r="Z38" s="9"/>
      <c r="AA38" s="10" t="str">
        <f aca="false">IF(Z38="","",Z38-Y38)</f>
        <v/>
      </c>
      <c r="AB38" s="11" t="str">
        <f aca="false">IF(COUNT(H38,K38,N38,Q38,T38,W38,Z38)=0,"not entered",IF(ABS(N(I38))+ABS(N(L38))+ABS(N(O38))+ABS(N(R38))+ABS(N(U38))+ABS(N(X38))+ABS(N(AA38))&lt;0.005,"OK","CHECK"))</f>
        <v>not entered</v>
      </c>
    </row>
    <row r="39" customFormat="false" ht="15" hidden="false" customHeight="false" outlineLevel="0" collapsed="false">
      <c r="A39" s="6" t="n">
        <v>5793</v>
      </c>
      <c r="B39" s="7" t="s">
        <v>61</v>
      </c>
      <c r="C39" s="7" t="s">
        <v>62</v>
      </c>
      <c r="D39" s="7" t="s">
        <v>74</v>
      </c>
      <c r="E39" s="7" t="n">
        <v>2</v>
      </c>
      <c r="F39" s="7" t="n">
        <v>6</v>
      </c>
      <c r="G39" s="8" t="n">
        <v>5100</v>
      </c>
      <c r="H39" s="9"/>
      <c r="I39" s="10" t="str">
        <f aca="false">IF(H39="","",H39-G39)</f>
        <v/>
      </c>
      <c r="J39" s="8" t="n">
        <v>3942.23</v>
      </c>
      <c r="K39" s="9"/>
      <c r="L39" s="10" t="str">
        <f aca="false">IF(K39="","",K39-J39)</f>
        <v/>
      </c>
      <c r="M39" s="8" t="n">
        <v>1486.65</v>
      </c>
      <c r="N39" s="9"/>
      <c r="O39" s="10" t="str">
        <f aca="false">IF(N39="","",N39-M39)</f>
        <v/>
      </c>
      <c r="P39" s="8" t="n">
        <v>50</v>
      </c>
      <c r="Q39" s="9"/>
      <c r="R39" s="10" t="str">
        <f aca="false">IF(Q39="","",Q39-P39)</f>
        <v/>
      </c>
      <c r="S39" s="8" t="n">
        <v>42.26</v>
      </c>
      <c r="T39" s="9"/>
      <c r="U39" s="10" t="str">
        <f aca="false">IF(T39="","",T39-S39)</f>
        <v/>
      </c>
      <c r="V39" s="8" t="n">
        <v>-10</v>
      </c>
      <c r="W39" s="9"/>
      <c r="X39" s="10" t="str">
        <f aca="false">IF(W39="","",W39-V39)</f>
        <v/>
      </c>
      <c r="Y39" s="8" t="n">
        <v>1568.91</v>
      </c>
      <c r="Z39" s="9"/>
      <c r="AA39" s="10" t="str">
        <f aca="false">IF(Z39="","",Z39-Y39)</f>
        <v/>
      </c>
      <c r="AB39" s="11" t="str">
        <f aca="false">IF(COUNT(H39,K39,N39,Q39,T39,W39,Z39)=0,"not entered",IF(ABS(N(I39))+ABS(N(L39))+ABS(N(O39))+ABS(N(R39))+ABS(N(U39))+ABS(N(X39))+ABS(N(AA39))&lt;0.005,"OK","CHECK"))</f>
        <v>not entered</v>
      </c>
    </row>
    <row r="40" customFormat="false" ht="15" hidden="false" customHeight="false" outlineLevel="0" collapsed="false">
      <c r="A40" s="6" t="n">
        <v>5794</v>
      </c>
      <c r="B40" s="7" t="s">
        <v>61</v>
      </c>
      <c r="C40" s="7" t="s">
        <v>78</v>
      </c>
      <c r="D40" s="7" t="s">
        <v>67</v>
      </c>
      <c r="E40" s="7" t="n">
        <v>2</v>
      </c>
      <c r="F40" s="7" t="n">
        <v>6</v>
      </c>
      <c r="G40" s="8" t="n">
        <v>7500</v>
      </c>
      <c r="H40" s="9"/>
      <c r="I40" s="10" t="str">
        <f aca="false">IF(H40="","",H40-G40)</f>
        <v/>
      </c>
      <c r="J40" s="8" t="n">
        <v>3707.91</v>
      </c>
      <c r="K40" s="9"/>
      <c r="L40" s="10" t="str">
        <f aca="false">IF(K40="","",K40-J40)</f>
        <v/>
      </c>
      <c r="M40" s="8" t="n">
        <v>1288.84</v>
      </c>
      <c r="N40" s="9"/>
      <c r="O40" s="10" t="str">
        <f aca="false">IF(N40="","",N40-M40)</f>
        <v/>
      </c>
      <c r="P40" s="8"/>
      <c r="Q40" s="9"/>
      <c r="R40" s="10" t="str">
        <f aca="false">IF(Q40="","",Q40-P40)</f>
        <v/>
      </c>
      <c r="S40" s="8" t="n">
        <v>101.76</v>
      </c>
      <c r="T40" s="9"/>
      <c r="U40" s="10" t="str">
        <f aca="false">IF(T40="","",T40-S40)</f>
        <v/>
      </c>
      <c r="V40" s="8" t="n">
        <v>-60</v>
      </c>
      <c r="W40" s="9"/>
      <c r="X40" s="10" t="str">
        <f aca="false">IF(W40="","",W40-V40)</f>
        <v/>
      </c>
      <c r="Y40" s="8" t="n">
        <v>1330.6</v>
      </c>
      <c r="Z40" s="9"/>
      <c r="AA40" s="10" t="str">
        <f aca="false">IF(Z40="","",Z40-Y40)</f>
        <v/>
      </c>
      <c r="AB40" s="11" t="str">
        <f aca="false">IF(COUNT(H40,K40,N40,Q40,T40,W40,Z40)=0,"not entered",IF(ABS(N(I40))+ABS(N(L40))+ABS(N(O40))+ABS(N(R40))+ABS(N(U40))+ABS(N(X40))+ABS(N(AA40))&lt;0.005,"OK","CHECK"))</f>
        <v>not entered</v>
      </c>
    </row>
    <row r="41" customFormat="false" ht="15" hidden="false" customHeight="false" outlineLevel="0" collapsed="false">
      <c r="A41" s="6" t="n">
        <v>5795</v>
      </c>
      <c r="B41" s="7" t="s">
        <v>61</v>
      </c>
      <c r="C41" s="7" t="s">
        <v>91</v>
      </c>
      <c r="D41" s="7" t="s">
        <v>92</v>
      </c>
      <c r="E41" s="7" t="n">
        <v>2</v>
      </c>
      <c r="F41" s="7" t="n">
        <v>4</v>
      </c>
      <c r="G41" s="8" t="n">
        <v>5550</v>
      </c>
      <c r="H41" s="9"/>
      <c r="I41" s="10" t="str">
        <f aca="false">IF(H41="","",H41-G41)</f>
        <v/>
      </c>
      <c r="J41" s="8" t="n">
        <v>2684.35</v>
      </c>
      <c r="K41" s="9"/>
      <c r="L41" s="10" t="str">
        <f aca="false">IF(K41="","",K41-J41)</f>
        <v/>
      </c>
      <c r="M41" s="8" t="n">
        <v>1051.03</v>
      </c>
      <c r="N41" s="9"/>
      <c r="O41" s="10" t="str">
        <f aca="false">IF(N41="","",N41-M41)</f>
        <v/>
      </c>
      <c r="P41" s="8"/>
      <c r="Q41" s="9"/>
      <c r="R41" s="10" t="str">
        <f aca="false">IF(Q41="","",Q41-P41)</f>
        <v/>
      </c>
      <c r="S41" s="8"/>
      <c r="T41" s="9"/>
      <c r="U41" s="10" t="str">
        <f aca="false">IF(T41="","",T41-S41)</f>
        <v/>
      </c>
      <c r="V41" s="8" t="n">
        <v>-261.99</v>
      </c>
      <c r="W41" s="9"/>
      <c r="X41" s="10" t="str">
        <f aca="false">IF(W41="","",W41-V41)</f>
        <v/>
      </c>
      <c r="Y41" s="8" t="n">
        <v>789.04</v>
      </c>
      <c r="Z41" s="9"/>
      <c r="AA41" s="10" t="str">
        <f aca="false">IF(Z41="","",Z41-Y41)</f>
        <v/>
      </c>
      <c r="AB41" s="11" t="str">
        <f aca="false">IF(COUNT(H41,K41,N41,Q41,T41,W41,Z41)=0,"not entered",IF(ABS(N(I41))+ABS(N(L41))+ABS(N(O41))+ABS(N(R41))+ABS(N(U41))+ABS(N(X41))+ABS(N(AA41))&lt;0.005,"OK","CHECK"))</f>
        <v>not entered</v>
      </c>
    </row>
    <row r="42" customFormat="false" ht="15" hidden="false" customHeight="false" outlineLevel="0" collapsed="false">
      <c r="A42" s="12" t="s">
        <v>95</v>
      </c>
      <c r="B42" s="13"/>
      <c r="C42" s="13"/>
      <c r="D42" s="13"/>
      <c r="E42" s="12" t="n">
        <f aca="false">SUM(E5:E41)</f>
        <v>81</v>
      </c>
      <c r="F42" s="12" t="n">
        <f aca="false">SUM(F5:F41)</f>
        <v>180</v>
      </c>
      <c r="G42" s="14" t="n">
        <f aca="false">SUM(G5:G41)</f>
        <v>263708</v>
      </c>
      <c r="H42" s="14" t="n">
        <f aca="false">SUM(H5:H41)</f>
        <v>0</v>
      </c>
      <c r="I42" s="14" t="n">
        <f aca="false">SUM(I5:I41)</f>
        <v>0</v>
      </c>
      <c r="J42" s="14" t="n">
        <f aca="false">SUM(J5:J41)</f>
        <v>119550.3</v>
      </c>
      <c r="K42" s="14" t="n">
        <f aca="false">SUM(K5:K41)</f>
        <v>0</v>
      </c>
      <c r="L42" s="14" t="n">
        <f aca="false">SUM(L5:L41)</f>
        <v>0</v>
      </c>
      <c r="M42" s="14" t="n">
        <f aca="false">SUM(M5:M41)</f>
        <v>52475.09</v>
      </c>
      <c r="N42" s="14" t="n">
        <f aca="false">SUM(N5:N41)</f>
        <v>0</v>
      </c>
      <c r="O42" s="14" t="n">
        <f aca="false">SUM(O5:O41)</f>
        <v>0</v>
      </c>
      <c r="P42" s="14" t="n">
        <f aca="false">SUM(P5:P41)</f>
        <v>1557</v>
      </c>
      <c r="Q42" s="14" t="n">
        <f aca="false">SUM(Q5:Q41)</f>
        <v>0</v>
      </c>
      <c r="R42" s="14" t="n">
        <f aca="false">SUM(R5:R41)</f>
        <v>0</v>
      </c>
      <c r="S42" s="14" t="n">
        <f aca="false">SUM(S5:S41)</f>
        <v>878.58</v>
      </c>
      <c r="T42" s="14" t="n">
        <f aca="false">SUM(T5:T41)</f>
        <v>0</v>
      </c>
      <c r="U42" s="14" t="n">
        <f aca="false">SUM(U5:U41)</f>
        <v>0</v>
      </c>
      <c r="V42" s="14" t="n">
        <f aca="false">SUM(V5:V41)</f>
        <v>-4116.21</v>
      </c>
      <c r="W42" s="14" t="n">
        <f aca="false">SUM(W5:W41)</f>
        <v>0</v>
      </c>
      <c r="X42" s="14" t="n">
        <f aca="false">SUM(X5:X41)</f>
        <v>0</v>
      </c>
      <c r="Y42" s="14" t="n">
        <f aca="false">SUM(Y5:Y41)</f>
        <v>51394.46</v>
      </c>
      <c r="Z42" s="14" t="n">
        <f aca="false">SUM(Z5:Z41)</f>
        <v>0</v>
      </c>
      <c r="AA42" s="14" t="n">
        <f aca="false">SUM(AA5:AA41)</f>
        <v>0</v>
      </c>
      <c r="AB42" s="12" t="str">
        <f aca="false">COUNTIF(AB5:AB41,"OK")&amp;" of 37 OK"</f>
        <v>0 of 37 OK</v>
      </c>
    </row>
  </sheetData>
  <autoFilter ref="A4:AB41"/>
  <conditionalFormatting sqref="I5:I41">
    <cfRule type="cellIs" priority="2" operator="notEqual" aboveAverage="0" equalAverage="0" bottom="0" percent="0" rank="0" text="" dxfId="6">
      <formula>0</formula>
    </cfRule>
  </conditionalFormatting>
  <conditionalFormatting sqref="L5:L41">
    <cfRule type="cellIs" priority="3" operator="notEqual" aboveAverage="0" equalAverage="0" bottom="0" percent="0" rank="0" text="" dxfId="6">
      <formula>0</formula>
    </cfRule>
  </conditionalFormatting>
  <conditionalFormatting sqref="O5:O41">
    <cfRule type="cellIs" priority="4" operator="notEqual" aboveAverage="0" equalAverage="0" bottom="0" percent="0" rank="0" text="" dxfId="6">
      <formula>0</formula>
    </cfRule>
  </conditionalFormatting>
  <conditionalFormatting sqref="R5:R41">
    <cfRule type="cellIs" priority="5" operator="notEqual" aboveAverage="0" equalAverage="0" bottom="0" percent="0" rank="0" text="" dxfId="6">
      <formula>0</formula>
    </cfRule>
  </conditionalFormatting>
  <conditionalFormatting sqref="U5:U41">
    <cfRule type="cellIs" priority="6" operator="notEqual" aboveAverage="0" equalAverage="0" bottom="0" percent="0" rank="0" text="" dxfId="6">
      <formula>0</formula>
    </cfRule>
  </conditionalFormatting>
  <conditionalFormatting sqref="X5:X41">
    <cfRule type="cellIs" priority="7" operator="notEqual" aboveAverage="0" equalAverage="0" bottom="0" percent="0" rank="0" text="" dxfId="6">
      <formula>0</formula>
    </cfRule>
  </conditionalFormatting>
  <conditionalFormatting sqref="AA5:AA41">
    <cfRule type="cellIs" priority="8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4" topLeftCell="J5" activePane="bottomRight" state="frozen"/>
      <selection pane="topLeft" activeCell="A1" activeCellId="0" sqref="A1"/>
      <selection pane="topRight" activeCell="J1" activeCellId="0" sqref="J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8"/>
    <col collapsed="false" customWidth="true" hidden="false" outlineLevel="0" max="5" min="5" style="0" width="10"/>
    <col collapsed="false" customWidth="true" hidden="false" outlineLevel="0" max="7" min="6" style="0" width="26"/>
    <col collapsed="false" customWidth="true" hidden="false" outlineLevel="0" max="8" min="8" style="0" width="17"/>
    <col collapsed="false" customWidth="true" hidden="false" outlineLevel="0" max="9" min="9" style="0" width="7"/>
    <col collapsed="false" customWidth="true" hidden="false" outlineLevel="0" max="11" min="10" style="0" width="15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5" min="14" style="0" width="15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9" min="18" style="0" width="15"/>
    <col collapsed="false" customWidth="true" hidden="false" outlineLevel="0" max="20" min="20" style="0" width="10"/>
    <col collapsed="false" customWidth="true" hidden="false" outlineLevel="0" max="21" min="21" style="0" width="9"/>
    <col collapsed="false" customWidth="true" hidden="false" outlineLevel="0" max="23" min="22" style="0" width="12"/>
    <col collapsed="false" customWidth="true" hidden="false" outlineLevel="0" max="25" min="24" style="0" width="15"/>
    <col collapsed="false" customWidth="true" hidden="false" outlineLevel="0" max="26" min="26" style="0" width="11"/>
    <col collapsed="false" customWidth="true" hidden="false" outlineLevel="0" max="28" min="27" style="0" width="16"/>
    <col collapsed="false" customWidth="true" hidden="false" outlineLevel="0" max="29" min="29" style="0" width="11"/>
    <col collapsed="false" customWidth="true" hidden="false" outlineLevel="0" max="30" min="30" style="0" width="13"/>
    <col collapsed="false" customWidth="true" hidden="false" outlineLevel="0" max="31" min="31" style="0" width="9"/>
    <col collapsed="false" customWidth="true" hidden="false" outlineLevel="0" max="32" min="32" style="0" width="12"/>
  </cols>
  <sheetData>
    <row r="1" customFormat="false" ht="16.15" hidden="false" customHeight="false" outlineLevel="0" collapsed="false">
      <c r="A1" s="1" t="s">
        <v>96</v>
      </c>
    </row>
    <row r="2" customFormat="false" ht="15" hidden="false" customHeight="false" outlineLevel="0" collapsed="false">
      <c r="A2" s="4" t="s">
        <v>97</v>
      </c>
    </row>
    <row r="4" customFormat="false" ht="31.5" hidden="false" customHeight="true" outlineLevel="0" collapsed="false">
      <c r="A4" s="5" t="s">
        <v>39</v>
      </c>
      <c r="B4" s="5" t="s">
        <v>40</v>
      </c>
      <c r="C4" s="5" t="s">
        <v>98</v>
      </c>
      <c r="D4" s="5" t="s">
        <v>42</v>
      </c>
      <c r="E4" s="5" t="s">
        <v>99</v>
      </c>
      <c r="F4" s="5" t="s">
        <v>41</v>
      </c>
      <c r="G4" s="5" t="s">
        <v>100</v>
      </c>
      <c r="H4" s="5" t="s">
        <v>101</v>
      </c>
      <c r="I4" s="5" t="s">
        <v>102</v>
      </c>
      <c r="J4" s="5" t="s">
        <v>103</v>
      </c>
      <c r="K4" s="5" t="s">
        <v>104</v>
      </c>
      <c r="L4" s="5" t="s">
        <v>105</v>
      </c>
      <c r="M4" s="5" t="s">
        <v>106</v>
      </c>
      <c r="N4" s="5" t="s">
        <v>107</v>
      </c>
      <c r="O4" s="5" t="s">
        <v>108</v>
      </c>
      <c r="P4" s="5" t="s">
        <v>105</v>
      </c>
      <c r="Q4" s="5" t="s">
        <v>106</v>
      </c>
      <c r="R4" s="5" t="s">
        <v>109</v>
      </c>
      <c r="S4" s="5" t="s">
        <v>110</v>
      </c>
      <c r="T4" s="5" t="s">
        <v>105</v>
      </c>
      <c r="U4" s="5" t="s">
        <v>106</v>
      </c>
      <c r="V4" s="5" t="s">
        <v>111</v>
      </c>
      <c r="W4" s="5" t="s">
        <v>112</v>
      </c>
      <c r="X4" s="5" t="s">
        <v>113</v>
      </c>
      <c r="Y4" s="5" t="s">
        <v>114</v>
      </c>
      <c r="Z4" s="5" t="s">
        <v>115</v>
      </c>
      <c r="AA4" s="5" t="s">
        <v>116</v>
      </c>
      <c r="AB4" s="5" t="s">
        <v>117</v>
      </c>
      <c r="AC4" s="5" t="s">
        <v>115</v>
      </c>
      <c r="AD4" s="5" t="s">
        <v>118</v>
      </c>
      <c r="AE4" s="5" t="s">
        <v>44</v>
      </c>
      <c r="AF4" s="5" t="s">
        <v>119</v>
      </c>
    </row>
    <row r="5" customFormat="false" ht="15" hidden="false" customHeight="false" outlineLevel="0" collapsed="false">
      <c r="A5" s="7" t="n">
        <v>5753</v>
      </c>
      <c r="B5" s="7" t="s">
        <v>61</v>
      </c>
      <c r="C5" s="7" t="s">
        <v>120</v>
      </c>
      <c r="D5" s="7" t="s">
        <v>93</v>
      </c>
      <c r="E5" s="7" t="s">
        <v>121</v>
      </c>
      <c r="F5" s="7" t="s">
        <v>62</v>
      </c>
      <c r="G5" s="7" t="s">
        <v>122</v>
      </c>
      <c r="H5" s="7" t="s">
        <v>123</v>
      </c>
      <c r="I5" s="7" t="n">
        <v>4</v>
      </c>
      <c r="J5" s="15" t="n">
        <v>1612.5</v>
      </c>
      <c r="K5" s="16"/>
      <c r="L5" s="17" t="str">
        <f aca="false">IF(K5="","",K5-N(J5))</f>
        <v/>
      </c>
      <c r="M5" s="18" t="str">
        <f aca="false">IF(OR(K5="",N(J5)=0),"",L5/J5)</f>
        <v/>
      </c>
      <c r="N5" s="15" t="n">
        <v>1520.9</v>
      </c>
      <c r="O5" s="16"/>
      <c r="P5" s="17" t="str">
        <f aca="false">IF(O5="","",O5-N(N5))</f>
        <v/>
      </c>
      <c r="Q5" s="18" t="str">
        <f aca="false">IF(OR(O5="",N(N5)=0),"",P5/N5)</f>
        <v/>
      </c>
      <c r="R5" s="15" t="n">
        <v>384.8</v>
      </c>
      <c r="S5" s="16"/>
      <c r="T5" s="17" t="str">
        <f aca="false">IF(S5="","",S5-N(R5))</f>
        <v/>
      </c>
      <c r="U5" s="18" t="str">
        <f aca="false">IF(OR(S5="",N(R5)=0),"",T5/R5)</f>
        <v/>
      </c>
      <c r="V5" s="19" t="n">
        <v>0.5</v>
      </c>
      <c r="W5" s="19" t="n">
        <v>0.5</v>
      </c>
      <c r="X5" s="8" t="n">
        <v>760.45</v>
      </c>
      <c r="Y5" s="10" t="str">
        <f aca="false">IF(O5="","",ROUND(O5*N(V5),2))</f>
        <v/>
      </c>
      <c r="Z5" s="10" t="str">
        <f aca="false">IF(Y5="","",Y5-N(X5))</f>
        <v/>
      </c>
      <c r="AA5" s="8" t="n">
        <v>192.4</v>
      </c>
      <c r="AB5" s="10" t="str">
        <f aca="false">IF(S5="","",ROUND(S5*N(W5),2))</f>
        <v/>
      </c>
      <c r="AC5" s="10" t="str">
        <f aca="false">IF(AB5="","",AB5-N(AA5))</f>
        <v/>
      </c>
      <c r="AD5" s="8" t="n">
        <v>3200</v>
      </c>
      <c r="AE5" s="7" t="n">
        <v>3</v>
      </c>
      <c r="AF5" s="8" t="n">
        <v>2153.17</v>
      </c>
    </row>
    <row r="6" customFormat="false" ht="15" hidden="false" customHeight="false" outlineLevel="0" collapsed="false">
      <c r="A6" s="7" t="n">
        <v>5753</v>
      </c>
      <c r="B6" s="7" t="s">
        <v>61</v>
      </c>
      <c r="C6" s="7" t="s">
        <v>124</v>
      </c>
      <c r="D6" s="7" t="s">
        <v>74</v>
      </c>
      <c r="E6" s="7" t="s">
        <v>125</v>
      </c>
      <c r="F6" s="7" t="s">
        <v>62</v>
      </c>
      <c r="G6" s="7" t="s">
        <v>126</v>
      </c>
      <c r="H6" s="7" t="s">
        <v>123</v>
      </c>
      <c r="I6" s="7" t="n">
        <v>2</v>
      </c>
      <c r="J6" s="15" t="n">
        <v>1958.9</v>
      </c>
      <c r="K6" s="16"/>
      <c r="L6" s="17" t="str">
        <f aca="false">IF(K6="","",K6-N(J6))</f>
        <v/>
      </c>
      <c r="M6" s="18" t="str">
        <f aca="false">IF(OR(K6="",N(J6)=0),"",L6/J6)</f>
        <v/>
      </c>
      <c r="N6" s="15" t="n">
        <v>1890.2</v>
      </c>
      <c r="O6" s="16"/>
      <c r="P6" s="17" t="str">
        <f aca="false">IF(O6="","",O6-N(N6))</f>
        <v/>
      </c>
      <c r="Q6" s="18" t="str">
        <f aca="false">IF(OR(O6="",N(N6)=0),"",P6/N6)</f>
        <v/>
      </c>
      <c r="R6" s="15"/>
      <c r="S6" s="16"/>
      <c r="T6" s="17" t="str">
        <f aca="false">IF(S6="","",S6-N(R6))</f>
        <v/>
      </c>
      <c r="U6" s="18" t="str">
        <f aca="false">IF(OR(S6="",N(R6)=0),"",T6/R6)</f>
        <v/>
      </c>
      <c r="V6" s="19" t="n">
        <v>0.5</v>
      </c>
      <c r="W6" s="19"/>
      <c r="X6" s="8" t="n">
        <v>945.1</v>
      </c>
      <c r="Y6" s="10" t="str">
        <f aca="false">IF(O6="","",ROUND(O6*N(V6),2))</f>
        <v/>
      </c>
      <c r="Z6" s="10" t="str">
        <f aca="false">IF(Y6="","",Y6-N(X6))</f>
        <v/>
      </c>
      <c r="AA6" s="8"/>
      <c r="AB6" s="10" t="str">
        <f aca="false">IF(S6="","",ROUND(S6*N(W6),2))</f>
        <v/>
      </c>
      <c r="AC6" s="10" t="str">
        <f aca="false">IF(AB6="","",AB6-N(AA6))</f>
        <v/>
      </c>
      <c r="AD6" s="8" t="n">
        <v>4900</v>
      </c>
      <c r="AE6" s="7" t="n">
        <v>2</v>
      </c>
      <c r="AF6" s="8" t="n">
        <v>1338.75</v>
      </c>
    </row>
    <row r="7" customFormat="false" ht="15" hidden="false" customHeight="false" outlineLevel="0" collapsed="false">
      <c r="A7" s="7" t="n">
        <v>5760</v>
      </c>
      <c r="B7" s="7" t="s">
        <v>61</v>
      </c>
      <c r="C7" s="7" t="s">
        <v>127</v>
      </c>
      <c r="D7" s="7" t="s">
        <v>65</v>
      </c>
      <c r="E7" s="7" t="s">
        <v>128</v>
      </c>
      <c r="F7" s="7" t="s">
        <v>64</v>
      </c>
      <c r="G7" s="7" t="s">
        <v>129</v>
      </c>
      <c r="H7" s="7" t="s">
        <v>123</v>
      </c>
      <c r="I7" s="7" t="n">
        <v>2</v>
      </c>
      <c r="J7" s="15" t="n">
        <v>1467.9</v>
      </c>
      <c r="K7" s="16"/>
      <c r="L7" s="17" t="str">
        <f aca="false">IF(K7="","",K7-N(J7))</f>
        <v/>
      </c>
      <c r="M7" s="18" t="str">
        <f aca="false">IF(OR(K7="",N(J7)=0),"",L7/J7)</f>
        <v/>
      </c>
      <c r="N7" s="15" t="n">
        <v>1421.3</v>
      </c>
      <c r="O7" s="16"/>
      <c r="P7" s="17" t="str">
        <f aca="false">IF(O7="","",O7-N(N7))</f>
        <v/>
      </c>
      <c r="Q7" s="18" t="str">
        <f aca="false">IF(OR(O7="",N(N7)=0),"",P7/N7)</f>
        <v/>
      </c>
      <c r="R7" s="15"/>
      <c r="S7" s="16"/>
      <c r="T7" s="17" t="str">
        <f aca="false">IF(S7="","",S7-N(R7))</f>
        <v/>
      </c>
      <c r="U7" s="18" t="str">
        <f aca="false">IF(OR(S7="",N(R7)=0),"",T7/R7)</f>
        <v/>
      </c>
      <c r="V7" s="19" t="n">
        <v>0.45</v>
      </c>
      <c r="W7" s="19"/>
      <c r="X7" s="8" t="n">
        <v>639.59</v>
      </c>
      <c r="Y7" s="10" t="str">
        <f aca="false">IF(O7="","",ROUND(O7*N(V7),2))</f>
        <v/>
      </c>
      <c r="Z7" s="10" t="str">
        <f aca="false">IF(Y7="","",Y7-N(X7))</f>
        <v/>
      </c>
      <c r="AA7" s="8"/>
      <c r="AB7" s="10" t="str">
        <f aca="false">IF(S7="","",ROUND(S7*N(W7),2))</f>
        <v/>
      </c>
      <c r="AC7" s="10" t="str">
        <f aca="false">IF(AB7="","",AB7-N(AA7))</f>
        <v/>
      </c>
      <c r="AD7" s="8" t="n">
        <v>3920</v>
      </c>
      <c r="AE7" s="7" t="n">
        <v>1</v>
      </c>
      <c r="AF7" s="8" t="n">
        <v>913.18</v>
      </c>
    </row>
    <row r="8" customFormat="false" ht="15" hidden="false" customHeight="false" outlineLevel="0" collapsed="false">
      <c r="A8" s="7" t="n">
        <v>5760</v>
      </c>
      <c r="B8" s="7" t="s">
        <v>61</v>
      </c>
      <c r="C8" s="7" t="s">
        <v>130</v>
      </c>
      <c r="D8" s="7" t="s">
        <v>65</v>
      </c>
      <c r="E8" s="7" t="s">
        <v>128</v>
      </c>
      <c r="F8" s="7" t="s">
        <v>64</v>
      </c>
      <c r="G8" s="7" t="s">
        <v>131</v>
      </c>
      <c r="H8" s="7" t="s">
        <v>123</v>
      </c>
      <c r="I8" s="7" t="n">
        <v>4</v>
      </c>
      <c r="J8" s="15" t="n">
        <v>1205.3</v>
      </c>
      <c r="K8" s="16"/>
      <c r="L8" s="17" t="str">
        <f aca="false">IF(K8="","",K8-N(J8))</f>
        <v/>
      </c>
      <c r="M8" s="18" t="str">
        <f aca="false">IF(OR(K8="",N(J8)=0),"",L8/J8)</f>
        <v/>
      </c>
      <c r="N8" s="15" t="n">
        <v>1150.5</v>
      </c>
      <c r="O8" s="16"/>
      <c r="P8" s="17" t="str">
        <f aca="false">IF(O8="","",O8-N(N8))</f>
        <v/>
      </c>
      <c r="Q8" s="18" t="str">
        <f aca="false">IF(OR(O8="",N(N8)=0),"",P8/N8)</f>
        <v/>
      </c>
      <c r="R8" s="15" t="n">
        <v>363.5</v>
      </c>
      <c r="S8" s="16"/>
      <c r="T8" s="17" t="str">
        <f aca="false">IF(S8="","",S8-N(R8))</f>
        <v/>
      </c>
      <c r="U8" s="18" t="str">
        <f aca="false">IF(OR(S8="",N(R8)=0),"",T8/R8)</f>
        <v/>
      </c>
      <c r="V8" s="19" t="n">
        <v>0.45</v>
      </c>
      <c r="W8" s="19" t="n">
        <v>0.45</v>
      </c>
      <c r="X8" s="8" t="n">
        <v>517.73</v>
      </c>
      <c r="Y8" s="10" t="str">
        <f aca="false">IF(O8="","",ROUND(O8*N(V8),2))</f>
        <v/>
      </c>
      <c r="Z8" s="10" t="str">
        <f aca="false">IF(Y8="","",Y8-N(X8))</f>
        <v/>
      </c>
      <c r="AA8" s="8" t="n">
        <v>163.58</v>
      </c>
      <c r="AB8" s="10" t="str">
        <f aca="false">IF(S8="","",ROUND(S8*N(W8),2))</f>
        <v/>
      </c>
      <c r="AC8" s="10" t="str">
        <f aca="false">IF(AB8="","",AB8-N(AA8))</f>
        <v/>
      </c>
      <c r="AD8" s="8" t="n">
        <v>2800</v>
      </c>
      <c r="AE8" s="7" t="n">
        <v>2</v>
      </c>
      <c r="AF8" s="8" t="n">
        <v>1748.54</v>
      </c>
    </row>
    <row r="9" customFormat="false" ht="15" hidden="false" customHeight="false" outlineLevel="0" collapsed="false">
      <c r="A9" s="7" t="n">
        <v>5761</v>
      </c>
      <c r="B9" s="7" t="s">
        <v>61</v>
      </c>
      <c r="C9" s="7" t="s">
        <v>132</v>
      </c>
      <c r="D9" s="7" t="s">
        <v>67</v>
      </c>
      <c r="E9" s="7" t="s">
        <v>133</v>
      </c>
      <c r="F9" s="7" t="s">
        <v>66</v>
      </c>
      <c r="G9" s="7" t="s">
        <v>134</v>
      </c>
      <c r="H9" s="7" t="s">
        <v>123</v>
      </c>
      <c r="I9" s="7" t="n">
        <v>2</v>
      </c>
      <c r="J9" s="15" t="n">
        <v>1467.9</v>
      </c>
      <c r="K9" s="16"/>
      <c r="L9" s="17" t="str">
        <f aca="false">IF(K9="","",K9-N(J9))</f>
        <v/>
      </c>
      <c r="M9" s="18" t="str">
        <f aca="false">IF(OR(K9="",N(J9)=0),"",L9/J9)</f>
        <v/>
      </c>
      <c r="N9" s="15" t="n">
        <v>1421.3</v>
      </c>
      <c r="O9" s="16"/>
      <c r="P9" s="17" t="str">
        <f aca="false">IF(O9="","",O9-N(N9))</f>
        <v/>
      </c>
      <c r="Q9" s="18" t="str">
        <f aca="false">IF(OR(O9="",N(N9)=0),"",P9/N9)</f>
        <v/>
      </c>
      <c r="R9" s="15"/>
      <c r="S9" s="16"/>
      <c r="T9" s="17" t="str">
        <f aca="false">IF(S9="","",S9-N(R9))</f>
        <v/>
      </c>
      <c r="U9" s="18" t="str">
        <f aca="false">IF(OR(S9="",N(R9)=0),"",T9/R9)</f>
        <v/>
      </c>
      <c r="V9" s="19" t="n">
        <v>0.45</v>
      </c>
      <c r="W9" s="19"/>
      <c r="X9" s="8" t="n">
        <v>639.59</v>
      </c>
      <c r="Y9" s="10" t="str">
        <f aca="false">IF(O9="","",ROUND(O9*N(V9),2))</f>
        <v/>
      </c>
      <c r="Z9" s="10" t="str">
        <f aca="false">IF(Y9="","",Y9-N(X9))</f>
        <v/>
      </c>
      <c r="AA9" s="8"/>
      <c r="AB9" s="10" t="str">
        <f aca="false">IF(S9="","",ROUND(S9*N(W9),2))</f>
        <v/>
      </c>
      <c r="AC9" s="10" t="str">
        <f aca="false">IF(AB9="","",AB9-N(AA9))</f>
        <v/>
      </c>
      <c r="AD9" s="8" t="n">
        <v>4100</v>
      </c>
      <c r="AE9" s="7" t="n">
        <v>2</v>
      </c>
      <c r="AF9" s="8" t="n">
        <v>1012.74</v>
      </c>
    </row>
    <row r="10" customFormat="false" ht="15" hidden="false" customHeight="false" outlineLevel="0" collapsed="false">
      <c r="A10" s="7" t="n">
        <v>5761</v>
      </c>
      <c r="B10" s="7" t="s">
        <v>61</v>
      </c>
      <c r="C10" s="7" t="s">
        <v>135</v>
      </c>
      <c r="D10" s="7" t="s">
        <v>67</v>
      </c>
      <c r="E10" s="7" t="s">
        <v>133</v>
      </c>
      <c r="F10" s="7" t="s">
        <v>66</v>
      </c>
      <c r="G10" s="7" t="s">
        <v>136</v>
      </c>
      <c r="H10" s="7" t="s">
        <v>123</v>
      </c>
      <c r="I10" s="7" t="n">
        <v>3</v>
      </c>
      <c r="J10" s="15" t="n">
        <v>1741.6</v>
      </c>
      <c r="K10" s="16"/>
      <c r="L10" s="17" t="str">
        <f aca="false">IF(K10="","",K10-N(J10))</f>
        <v/>
      </c>
      <c r="M10" s="18" t="str">
        <f aca="false">IF(OR(K10="",N(J10)=0),"",L10/J10)</f>
        <v/>
      </c>
      <c r="N10" s="15" t="n">
        <v>1464.7</v>
      </c>
      <c r="O10" s="16"/>
      <c r="P10" s="17" t="str">
        <f aca="false">IF(O10="","",O10-N(N10))</f>
        <v/>
      </c>
      <c r="Q10" s="18" t="str">
        <f aca="false">IF(OR(O10="",N(N10)=0),"",P10/N10)</f>
        <v/>
      </c>
      <c r="R10" s="15" t="n">
        <v>223.3</v>
      </c>
      <c r="S10" s="16"/>
      <c r="T10" s="17" t="str">
        <f aca="false">IF(S10="","",S10-N(R10))</f>
        <v/>
      </c>
      <c r="U10" s="18" t="str">
        <f aca="false">IF(OR(S10="",N(R10)=0),"",T10/R10)</f>
        <v/>
      </c>
      <c r="V10" s="19" t="n">
        <v>0.45</v>
      </c>
      <c r="W10" s="19" t="n">
        <v>0.45</v>
      </c>
      <c r="X10" s="8" t="n">
        <v>659.12</v>
      </c>
      <c r="Y10" s="10" t="str">
        <f aca="false">IF(O10="","",ROUND(O10*N(V10),2))</f>
        <v/>
      </c>
      <c r="Z10" s="10" t="str">
        <f aca="false">IF(Y10="","",Y10-N(X10))</f>
        <v/>
      </c>
      <c r="AA10" s="8" t="n">
        <v>100.49</v>
      </c>
      <c r="AB10" s="10" t="str">
        <f aca="false">IF(S10="","",ROUND(S10*N(W10),2))</f>
        <v/>
      </c>
      <c r="AC10" s="10" t="str">
        <f aca="false">IF(AB10="","",AB10-N(AA10))</f>
        <v/>
      </c>
      <c r="AD10" s="8" t="n">
        <v>2039</v>
      </c>
      <c r="AE10" s="7" t="n">
        <v>4</v>
      </c>
      <c r="AF10" s="8" t="n">
        <v>2088.62</v>
      </c>
    </row>
    <row r="11" customFormat="false" ht="15" hidden="false" customHeight="false" outlineLevel="0" collapsed="false">
      <c r="A11" s="7" t="n">
        <v>5762</v>
      </c>
      <c r="B11" s="7" t="s">
        <v>61</v>
      </c>
      <c r="C11" s="7" t="s">
        <v>137</v>
      </c>
      <c r="D11" s="7" t="s">
        <v>69</v>
      </c>
      <c r="E11" s="7" t="s">
        <v>138</v>
      </c>
      <c r="F11" s="7" t="s">
        <v>68</v>
      </c>
      <c r="G11" s="7" t="s">
        <v>136</v>
      </c>
      <c r="H11" s="7" t="s">
        <v>123</v>
      </c>
      <c r="I11" s="7" t="n">
        <v>3</v>
      </c>
      <c r="J11" s="15" t="n">
        <v>1535</v>
      </c>
      <c r="K11" s="16"/>
      <c r="L11" s="17" t="str">
        <f aca="false">IF(K11="","",K11-N(J11))</f>
        <v/>
      </c>
      <c r="M11" s="18" t="str">
        <f aca="false">IF(OR(K11="",N(J11)=0),"",L11/J11)</f>
        <v/>
      </c>
      <c r="N11" s="15" t="n">
        <v>1190.6</v>
      </c>
      <c r="O11" s="16"/>
      <c r="P11" s="17" t="str">
        <f aca="false">IF(O11="","",O11-N(N11))</f>
        <v/>
      </c>
      <c r="Q11" s="18" t="str">
        <f aca="false">IF(OR(O11="",N(N11)=0),"",P11/N11)</f>
        <v/>
      </c>
      <c r="R11" s="15" t="n">
        <v>333.7</v>
      </c>
      <c r="S11" s="16"/>
      <c r="T11" s="17" t="str">
        <f aca="false">IF(S11="","",S11-N(R11))</f>
        <v/>
      </c>
      <c r="U11" s="18" t="str">
        <f aca="false">IF(OR(S11="",N(R11)=0),"",T11/R11)</f>
        <v/>
      </c>
      <c r="V11" s="19" t="n">
        <v>0.45</v>
      </c>
      <c r="W11" s="19" t="n">
        <v>0.45</v>
      </c>
      <c r="X11" s="8" t="n">
        <v>535.77</v>
      </c>
      <c r="Y11" s="10" t="str">
        <f aca="false">IF(O11="","",ROUND(O11*N(V11),2))</f>
        <v/>
      </c>
      <c r="Z11" s="10" t="str">
        <f aca="false">IF(Y11="","",Y11-N(X11))</f>
        <v/>
      </c>
      <c r="AA11" s="8" t="n">
        <v>150.17</v>
      </c>
      <c r="AB11" s="10" t="str">
        <f aca="false">IF(S11="","",ROUND(S11*N(W11),2))</f>
        <v/>
      </c>
      <c r="AC11" s="10" t="str">
        <f aca="false">IF(AB11="","",AB11-N(AA11))</f>
        <v/>
      </c>
      <c r="AD11" s="8" t="n">
        <v>1939</v>
      </c>
      <c r="AE11" s="7" t="n">
        <v>3</v>
      </c>
      <c r="AF11" s="8" t="n">
        <v>1929.59</v>
      </c>
    </row>
    <row r="12" customFormat="false" ht="15" hidden="false" customHeight="false" outlineLevel="0" collapsed="false">
      <c r="A12" s="7" t="n">
        <v>5762</v>
      </c>
      <c r="B12" s="7" t="s">
        <v>61</v>
      </c>
      <c r="C12" s="7" t="s">
        <v>139</v>
      </c>
      <c r="D12" s="7" t="s">
        <v>69</v>
      </c>
      <c r="E12" s="7" t="s">
        <v>138</v>
      </c>
      <c r="F12" s="7" t="s">
        <v>68</v>
      </c>
      <c r="G12" s="7" t="s">
        <v>140</v>
      </c>
      <c r="H12" s="7" t="s">
        <v>123</v>
      </c>
      <c r="I12" s="7" t="n">
        <v>2</v>
      </c>
      <c r="J12" s="15" t="n">
        <v>1512.1</v>
      </c>
      <c r="K12" s="16"/>
      <c r="L12" s="17" t="str">
        <f aca="false">IF(K12="","",K12-N(J12))</f>
        <v/>
      </c>
      <c r="M12" s="18" t="str">
        <f aca="false">IF(OR(K12="",N(J12)=0),"",L12/J12)</f>
        <v/>
      </c>
      <c r="N12" s="15" t="n">
        <v>1496.3</v>
      </c>
      <c r="O12" s="16"/>
      <c r="P12" s="17" t="str">
        <f aca="false">IF(O12="","",O12-N(N12))</f>
        <v/>
      </c>
      <c r="Q12" s="18" t="str">
        <f aca="false">IF(OR(O12="",N(N12)=0),"",P12/N12)</f>
        <v/>
      </c>
      <c r="R12" s="15"/>
      <c r="S12" s="16"/>
      <c r="T12" s="17" t="str">
        <f aca="false">IF(S12="","",S12-N(R12))</f>
        <v/>
      </c>
      <c r="U12" s="18" t="str">
        <f aca="false">IF(OR(S12="",N(R12)=0),"",T12/R12)</f>
        <v/>
      </c>
      <c r="V12" s="19" t="n">
        <v>0.45</v>
      </c>
      <c r="W12" s="19"/>
      <c r="X12" s="8" t="n">
        <v>673.34</v>
      </c>
      <c r="Y12" s="10" t="str">
        <f aca="false">IF(O12="","",ROUND(O12*N(V12),2))</f>
        <v/>
      </c>
      <c r="Z12" s="10" t="str">
        <f aca="false">IF(Y12="","",Y12-N(X12))</f>
        <v/>
      </c>
      <c r="AA12" s="8"/>
      <c r="AB12" s="10" t="str">
        <f aca="false">IF(S12="","",ROUND(S12*N(W12),2))</f>
        <v/>
      </c>
      <c r="AC12" s="10" t="str">
        <f aca="false">IF(AB12="","",AB12-N(AA12))</f>
        <v/>
      </c>
      <c r="AD12" s="8" t="n">
        <v>5500</v>
      </c>
      <c r="AE12" s="7" t="n">
        <v>5</v>
      </c>
      <c r="AF12" s="8" t="n">
        <v>2290.65</v>
      </c>
    </row>
    <row r="13" customFormat="false" ht="15" hidden="false" customHeight="false" outlineLevel="0" collapsed="false">
      <c r="A13" s="7" t="n">
        <v>5763</v>
      </c>
      <c r="B13" s="7" t="s">
        <v>61</v>
      </c>
      <c r="C13" s="7" t="s">
        <v>141</v>
      </c>
      <c r="D13" s="7" t="s">
        <v>71</v>
      </c>
      <c r="E13" s="7" t="s">
        <v>142</v>
      </c>
      <c r="F13" s="7" t="s">
        <v>70</v>
      </c>
      <c r="G13" s="7" t="s">
        <v>143</v>
      </c>
      <c r="H13" s="7" t="s">
        <v>123</v>
      </c>
      <c r="I13" s="7" t="n">
        <v>3</v>
      </c>
      <c r="J13" s="15" t="n">
        <v>1385.7</v>
      </c>
      <c r="K13" s="16"/>
      <c r="L13" s="17" t="str">
        <f aca="false">IF(K13="","",K13-N(J13))</f>
        <v/>
      </c>
      <c r="M13" s="18" t="str">
        <f aca="false">IF(OR(K13="",N(J13)=0),"",L13/J13)</f>
        <v/>
      </c>
      <c r="N13" s="15" t="n">
        <v>1229.5</v>
      </c>
      <c r="O13" s="16"/>
      <c r="P13" s="17" t="str">
        <f aca="false">IF(O13="","",O13-N(N13))</f>
        <v/>
      </c>
      <c r="Q13" s="18" t="str">
        <f aca="false">IF(OR(O13="",N(N13)=0),"",P13/N13)</f>
        <v/>
      </c>
      <c r="R13" s="15" t="n">
        <v>107.9</v>
      </c>
      <c r="S13" s="16"/>
      <c r="T13" s="17" t="str">
        <f aca="false">IF(S13="","",S13-N(R13))</f>
        <v/>
      </c>
      <c r="U13" s="18" t="str">
        <f aca="false">IF(OR(S13="",N(R13)=0),"",T13/R13)</f>
        <v/>
      </c>
      <c r="V13" s="19" t="n">
        <v>0.45</v>
      </c>
      <c r="W13" s="19" t="n">
        <v>0.45</v>
      </c>
      <c r="X13" s="8" t="n">
        <v>553.28</v>
      </c>
      <c r="Y13" s="10" t="str">
        <f aca="false">IF(O13="","",ROUND(O13*N(V13),2))</f>
        <v/>
      </c>
      <c r="Z13" s="10" t="str">
        <f aca="false">IF(Y13="","",Y13-N(X13))</f>
        <v/>
      </c>
      <c r="AA13" s="8" t="n">
        <v>48.56</v>
      </c>
      <c r="AB13" s="10" t="str">
        <f aca="false">IF(S13="","",ROUND(S13*N(W13),2))</f>
        <v/>
      </c>
      <c r="AC13" s="10" t="str">
        <f aca="false">IF(AB13="","",AB13-N(AA13))</f>
        <v/>
      </c>
      <c r="AD13" s="8" t="n">
        <v>3400</v>
      </c>
      <c r="AE13" s="7" t="n">
        <v>2</v>
      </c>
      <c r="AF13" s="8" t="n">
        <v>1462.36</v>
      </c>
    </row>
    <row r="14" customFormat="false" ht="15" hidden="false" customHeight="false" outlineLevel="0" collapsed="false">
      <c r="A14" s="7" t="n">
        <v>5763</v>
      </c>
      <c r="B14" s="7" t="s">
        <v>61</v>
      </c>
      <c r="C14" s="7" t="s">
        <v>144</v>
      </c>
      <c r="D14" s="7" t="s">
        <v>71</v>
      </c>
      <c r="E14" s="7" t="s">
        <v>142</v>
      </c>
      <c r="F14" s="7" t="s">
        <v>70</v>
      </c>
      <c r="G14" s="7" t="s">
        <v>145</v>
      </c>
      <c r="H14" s="7" t="s">
        <v>123</v>
      </c>
      <c r="I14" s="7" t="n">
        <v>2</v>
      </c>
      <c r="J14" s="15" t="n">
        <v>1380.8</v>
      </c>
      <c r="K14" s="16"/>
      <c r="L14" s="17" t="str">
        <f aca="false">IF(K14="","",K14-N(J14))</f>
        <v/>
      </c>
      <c r="M14" s="18" t="str">
        <f aca="false">IF(OR(K14="",N(J14)=0),"",L14/J14)</f>
        <v/>
      </c>
      <c r="N14" s="15" t="n">
        <v>1335</v>
      </c>
      <c r="O14" s="16"/>
      <c r="P14" s="17" t="str">
        <f aca="false">IF(O14="","",O14-N(N14))</f>
        <v/>
      </c>
      <c r="Q14" s="18" t="str">
        <f aca="false">IF(OR(O14="",N(N14)=0),"",P14/N14)</f>
        <v/>
      </c>
      <c r="R14" s="15"/>
      <c r="S14" s="16"/>
      <c r="T14" s="17" t="str">
        <f aca="false">IF(S14="","",S14-N(R14))</f>
        <v/>
      </c>
      <c r="U14" s="18" t="str">
        <f aca="false">IF(OR(S14="",N(R14)=0),"",T14/R14)</f>
        <v/>
      </c>
      <c r="V14" s="19" t="n">
        <v>0.45</v>
      </c>
      <c r="W14" s="19"/>
      <c r="X14" s="8" t="n">
        <v>600.75</v>
      </c>
      <c r="Y14" s="10" t="str">
        <f aca="false">IF(O14="","",ROUND(O14*N(V14),2))</f>
        <v/>
      </c>
      <c r="Z14" s="10" t="str">
        <f aca="false">IF(Y14="","",Y14-N(X14))</f>
        <v/>
      </c>
      <c r="AA14" s="8"/>
      <c r="AB14" s="10" t="str">
        <f aca="false">IF(S14="","",ROUND(S14*N(W14),2))</f>
        <v/>
      </c>
      <c r="AC14" s="10" t="str">
        <f aca="false">IF(AB14="","",AB14-N(AA14))</f>
        <v/>
      </c>
      <c r="AD14" s="8" t="n">
        <v>4200</v>
      </c>
      <c r="AE14" s="7" t="n">
        <v>1</v>
      </c>
      <c r="AF14" s="8" t="n">
        <v>1019.92</v>
      </c>
    </row>
    <row r="15" customFormat="false" ht="15" hidden="false" customHeight="false" outlineLevel="0" collapsed="false">
      <c r="A15" s="7" t="n">
        <v>5764</v>
      </c>
      <c r="B15" s="7" t="s">
        <v>61</v>
      </c>
      <c r="C15" s="7" t="s">
        <v>146</v>
      </c>
      <c r="D15" s="7" t="s">
        <v>84</v>
      </c>
      <c r="E15" s="7" t="s">
        <v>125</v>
      </c>
      <c r="F15" s="7" t="s">
        <v>72</v>
      </c>
      <c r="G15" s="7" t="s">
        <v>126</v>
      </c>
      <c r="H15" s="7" t="s">
        <v>123</v>
      </c>
      <c r="I15" s="7" t="n">
        <v>2</v>
      </c>
      <c r="J15" s="15" t="n">
        <v>1958.9</v>
      </c>
      <c r="K15" s="16"/>
      <c r="L15" s="17" t="str">
        <f aca="false">IF(K15="","",K15-N(J15))</f>
        <v/>
      </c>
      <c r="M15" s="18" t="str">
        <f aca="false">IF(OR(K15="",N(J15)=0),"",L15/J15)</f>
        <v/>
      </c>
      <c r="N15" s="15" t="n">
        <v>1890.2</v>
      </c>
      <c r="O15" s="16"/>
      <c r="P15" s="17" t="str">
        <f aca="false">IF(O15="","",O15-N(N15))</f>
        <v/>
      </c>
      <c r="Q15" s="18" t="str">
        <f aca="false">IF(OR(O15="",N(N15)=0),"",P15/N15)</f>
        <v/>
      </c>
      <c r="R15" s="15"/>
      <c r="S15" s="16"/>
      <c r="T15" s="17" t="str">
        <f aca="false">IF(S15="","",S15-N(R15))</f>
        <v/>
      </c>
      <c r="U15" s="18" t="str">
        <f aca="false">IF(OR(S15="",N(R15)=0),"",T15/R15)</f>
        <v/>
      </c>
      <c r="V15" s="19" t="n">
        <v>0.5</v>
      </c>
      <c r="W15" s="19"/>
      <c r="X15" s="8" t="n">
        <v>945.1</v>
      </c>
      <c r="Y15" s="10" t="str">
        <f aca="false">IF(O15="","",ROUND(O15*N(V15),2))</f>
        <v/>
      </c>
      <c r="Z15" s="10" t="str">
        <f aca="false">IF(Y15="","",Y15-N(X15))</f>
        <v/>
      </c>
      <c r="AA15" s="8"/>
      <c r="AB15" s="10" t="str">
        <f aca="false">IF(S15="","",ROUND(S15*N(W15),2))</f>
        <v/>
      </c>
      <c r="AC15" s="10" t="str">
        <f aca="false">IF(AB15="","",AB15-N(AA15))</f>
        <v/>
      </c>
      <c r="AD15" s="8" t="n">
        <v>4900</v>
      </c>
      <c r="AE15" s="7" t="n">
        <v>3</v>
      </c>
      <c r="AF15" s="8" t="n">
        <v>1992.4</v>
      </c>
    </row>
    <row r="16" customFormat="false" ht="15" hidden="false" customHeight="false" outlineLevel="0" collapsed="false">
      <c r="A16" s="7" t="n">
        <v>5764</v>
      </c>
      <c r="B16" s="7" t="s">
        <v>61</v>
      </c>
      <c r="C16" s="7" t="s">
        <v>147</v>
      </c>
      <c r="D16" s="7" t="s">
        <v>93</v>
      </c>
      <c r="E16" s="7" t="s">
        <v>148</v>
      </c>
      <c r="F16" s="7" t="s">
        <v>72</v>
      </c>
      <c r="G16" s="7" t="s">
        <v>149</v>
      </c>
      <c r="H16" s="7" t="s">
        <v>123</v>
      </c>
      <c r="I16" s="7" t="n">
        <v>4</v>
      </c>
      <c r="J16" s="15" t="n">
        <v>1784.9</v>
      </c>
      <c r="K16" s="16"/>
      <c r="L16" s="17" t="str">
        <f aca="false">IF(K16="","",K16-N(J16))</f>
        <v/>
      </c>
      <c r="M16" s="18" t="str">
        <f aca="false">IF(OR(K16="",N(J16)=0),"",L16/J16)</f>
        <v/>
      </c>
      <c r="N16" s="15" t="n">
        <v>1707.1</v>
      </c>
      <c r="O16" s="16"/>
      <c r="P16" s="17" t="str">
        <f aca="false">IF(O16="","",O16-N(N16))</f>
        <v/>
      </c>
      <c r="Q16" s="18" t="str">
        <f aca="false">IF(OR(O16="",N(N16)=0),"",P16/N16)</f>
        <v/>
      </c>
      <c r="R16" s="15" t="n">
        <v>261.3</v>
      </c>
      <c r="S16" s="16"/>
      <c r="T16" s="17" t="str">
        <f aca="false">IF(S16="","",S16-N(R16))</f>
        <v/>
      </c>
      <c r="U16" s="18" t="str">
        <f aca="false">IF(OR(S16="",N(R16)=0),"",T16/R16)</f>
        <v/>
      </c>
      <c r="V16" s="19" t="n">
        <v>0.5</v>
      </c>
      <c r="W16" s="19" t="n">
        <v>0.5</v>
      </c>
      <c r="X16" s="8" t="n">
        <v>853.55</v>
      </c>
      <c r="Y16" s="10" t="str">
        <f aca="false">IF(O16="","",ROUND(O16*N(V16),2))</f>
        <v/>
      </c>
      <c r="Z16" s="10" t="str">
        <f aca="false">IF(Y16="","",Y16-N(X16))</f>
        <v/>
      </c>
      <c r="AA16" s="8" t="n">
        <v>130.65</v>
      </c>
      <c r="AB16" s="10" t="str">
        <f aca="false">IF(S16="","",ROUND(S16*N(W16),2))</f>
        <v/>
      </c>
      <c r="AC16" s="10" t="str">
        <f aca="false">IF(AB16="","",AB16-N(AA16))</f>
        <v/>
      </c>
      <c r="AD16" s="8" t="n">
        <v>4000</v>
      </c>
      <c r="AE16" s="7" t="n">
        <v>2</v>
      </c>
      <c r="AF16" s="8" t="n">
        <v>1787.09</v>
      </c>
    </row>
    <row r="17" customFormat="false" ht="15" hidden="false" customHeight="false" outlineLevel="0" collapsed="false">
      <c r="A17" s="7" t="n">
        <v>5765</v>
      </c>
      <c r="B17" s="7" t="s">
        <v>61</v>
      </c>
      <c r="C17" s="7" t="s">
        <v>150</v>
      </c>
      <c r="D17" s="7" t="s">
        <v>74</v>
      </c>
      <c r="E17" s="7" t="s">
        <v>121</v>
      </c>
      <c r="F17" s="7" t="s">
        <v>62</v>
      </c>
      <c r="G17" s="7" t="s">
        <v>149</v>
      </c>
      <c r="H17" s="7" t="s">
        <v>123</v>
      </c>
      <c r="I17" s="7" t="n">
        <v>4</v>
      </c>
      <c r="J17" s="15" t="n">
        <v>1784.9</v>
      </c>
      <c r="K17" s="16"/>
      <c r="L17" s="17" t="str">
        <f aca="false">IF(K17="","",K17-N(J17))</f>
        <v/>
      </c>
      <c r="M17" s="18" t="str">
        <f aca="false">IF(OR(K17="",N(J17)=0),"",L17/J17)</f>
        <v/>
      </c>
      <c r="N17" s="15" t="n">
        <v>1707.1</v>
      </c>
      <c r="O17" s="16"/>
      <c r="P17" s="17" t="str">
        <f aca="false">IF(O17="","",O17-N(N17))</f>
        <v/>
      </c>
      <c r="Q17" s="18" t="str">
        <f aca="false">IF(OR(O17="",N(N17)=0),"",P17/N17)</f>
        <v/>
      </c>
      <c r="R17" s="15" t="n">
        <v>261.3</v>
      </c>
      <c r="S17" s="16"/>
      <c r="T17" s="17" t="str">
        <f aca="false">IF(S17="","",S17-N(R17))</f>
        <v/>
      </c>
      <c r="U17" s="18" t="str">
        <f aca="false">IF(OR(S17="",N(R17)=0),"",T17/R17)</f>
        <v/>
      </c>
      <c r="V17" s="19" t="n">
        <v>0.5</v>
      </c>
      <c r="W17" s="19" t="n">
        <v>0.5</v>
      </c>
      <c r="X17" s="8" t="n">
        <v>853.55</v>
      </c>
      <c r="Y17" s="10" t="str">
        <f aca="false">IF(O17="","",ROUND(O17*N(V17),2))</f>
        <v/>
      </c>
      <c r="Z17" s="10" t="str">
        <f aca="false">IF(Y17="","",Y17-N(X17))</f>
        <v/>
      </c>
      <c r="AA17" s="8" t="n">
        <v>130.65</v>
      </c>
      <c r="AB17" s="10" t="str">
        <f aca="false">IF(S17="","",ROUND(S17*N(W17),2))</f>
        <v/>
      </c>
      <c r="AC17" s="10" t="str">
        <f aca="false">IF(AB17="","",AB17-N(AA17))</f>
        <v/>
      </c>
      <c r="AD17" s="8" t="n">
        <v>4000</v>
      </c>
      <c r="AE17" s="7" t="n">
        <v>2</v>
      </c>
      <c r="AF17" s="8" t="n">
        <v>1741.7</v>
      </c>
    </row>
    <row r="18" customFormat="false" ht="15" hidden="false" customHeight="false" outlineLevel="0" collapsed="false">
      <c r="A18" s="7" t="n">
        <v>5765</v>
      </c>
      <c r="B18" s="7" t="s">
        <v>61</v>
      </c>
      <c r="C18" s="7" t="s">
        <v>151</v>
      </c>
      <c r="D18" s="7" t="s">
        <v>74</v>
      </c>
      <c r="E18" s="7" t="s">
        <v>121</v>
      </c>
      <c r="F18" s="7" t="s">
        <v>62</v>
      </c>
      <c r="G18" s="7" t="s">
        <v>126</v>
      </c>
      <c r="H18" s="7" t="s">
        <v>123</v>
      </c>
      <c r="I18" s="7" t="n">
        <v>2</v>
      </c>
      <c r="J18" s="15" t="n">
        <v>1958.9</v>
      </c>
      <c r="K18" s="16"/>
      <c r="L18" s="17" t="str">
        <f aca="false">IF(K18="","",K18-N(J18))</f>
        <v/>
      </c>
      <c r="M18" s="18" t="str">
        <f aca="false">IF(OR(K18="",N(J18)=0),"",L18/J18)</f>
        <v/>
      </c>
      <c r="N18" s="15" t="n">
        <v>1890.2</v>
      </c>
      <c r="O18" s="16"/>
      <c r="P18" s="17" t="str">
        <f aca="false">IF(O18="","",O18-N(N18))</f>
        <v/>
      </c>
      <c r="Q18" s="18" t="str">
        <f aca="false">IF(OR(O18="",N(N18)=0),"",P18/N18)</f>
        <v/>
      </c>
      <c r="R18" s="15"/>
      <c r="S18" s="16"/>
      <c r="T18" s="17" t="str">
        <f aca="false">IF(S18="","",S18-N(R18))</f>
        <v/>
      </c>
      <c r="U18" s="18" t="str">
        <f aca="false">IF(OR(S18="",N(R18)=0),"",T18/R18)</f>
        <v/>
      </c>
      <c r="V18" s="19" t="n">
        <v>0.5</v>
      </c>
      <c r="W18" s="19"/>
      <c r="X18" s="8" t="n">
        <v>945.1</v>
      </c>
      <c r="Y18" s="10" t="str">
        <f aca="false">IF(O18="","",ROUND(O18*N(V18),2))</f>
        <v/>
      </c>
      <c r="Z18" s="10" t="str">
        <f aca="false">IF(Y18="","",Y18-N(X18))</f>
        <v/>
      </c>
      <c r="AA18" s="8"/>
      <c r="AB18" s="10" t="str">
        <f aca="false">IF(S18="","",ROUND(S18*N(W18),2))</f>
        <v/>
      </c>
      <c r="AC18" s="10" t="str">
        <f aca="false">IF(AB18="","",AB18-N(AA18))</f>
        <v/>
      </c>
      <c r="AD18" s="8" t="n">
        <v>4900</v>
      </c>
      <c r="AE18" s="7" t="n">
        <v>3</v>
      </c>
      <c r="AF18" s="8" t="n">
        <v>1290.37</v>
      </c>
    </row>
    <row r="19" customFormat="false" ht="15" hidden="false" customHeight="false" outlineLevel="0" collapsed="false">
      <c r="A19" s="7" t="n">
        <v>5766</v>
      </c>
      <c r="B19" s="7" t="s">
        <v>75</v>
      </c>
      <c r="C19" s="7" t="s">
        <v>152</v>
      </c>
      <c r="D19" s="7" t="s">
        <v>77</v>
      </c>
      <c r="E19" s="7" t="s">
        <v>153</v>
      </c>
      <c r="F19" s="7" t="s">
        <v>76</v>
      </c>
      <c r="G19" s="7" t="s">
        <v>154</v>
      </c>
      <c r="H19" s="7" t="s">
        <v>155</v>
      </c>
      <c r="I19" s="7" t="n">
        <v>3</v>
      </c>
      <c r="J19" s="15" t="n">
        <v>757</v>
      </c>
      <c r="K19" s="16"/>
      <c r="L19" s="17" t="str">
        <f aca="false">IF(K19="","",K19-N(J19))</f>
        <v/>
      </c>
      <c r="M19" s="18" t="str">
        <f aca="false">IF(OR(K19="",N(J19)=0),"",L19/J19)</f>
        <v/>
      </c>
      <c r="N19" s="15"/>
      <c r="O19" s="16"/>
      <c r="P19" s="17" t="str">
        <f aca="false">IF(O19="","",O19-N(N19))</f>
        <v/>
      </c>
      <c r="Q19" s="18" t="str">
        <f aca="false">IF(OR(O19="",N(N19)=0),"",P19/N19)</f>
        <v/>
      </c>
      <c r="R19" s="15"/>
      <c r="S19" s="16"/>
      <c r="T19" s="17" t="str">
        <f aca="false">IF(S19="","",S19-N(R19))</f>
        <v/>
      </c>
      <c r="U19" s="18" t="str">
        <f aca="false">IF(OR(S19="",N(R19)=0),"",T19/R19)</f>
        <v/>
      </c>
      <c r="V19" s="19"/>
      <c r="W19" s="19"/>
      <c r="X19" s="8"/>
      <c r="Y19" s="10" t="str">
        <f aca="false">IF(O19="","",ROUND(O19*N(V19),2))</f>
        <v/>
      </c>
      <c r="Z19" s="10" t="str">
        <f aca="false">IF(Y19="","",Y19-N(X19))</f>
        <v/>
      </c>
      <c r="AA19" s="8"/>
      <c r="AB19" s="10" t="str">
        <f aca="false">IF(S19="","",ROUND(S19*N(W19),2))</f>
        <v/>
      </c>
      <c r="AC19" s="10" t="str">
        <f aca="false">IF(AB19="","",AB19-N(AA19))</f>
        <v/>
      </c>
      <c r="AD19" s="8" t="n">
        <v>1500</v>
      </c>
      <c r="AE19" s="7" t="n">
        <v>2</v>
      </c>
      <c r="AF19" s="8" t="n">
        <v>660.55</v>
      </c>
    </row>
    <row r="20" customFormat="false" ht="15" hidden="false" customHeight="false" outlineLevel="0" collapsed="false">
      <c r="A20" s="7" t="n">
        <v>5767</v>
      </c>
      <c r="B20" s="7" t="s">
        <v>61</v>
      </c>
      <c r="C20" s="7" t="s">
        <v>156</v>
      </c>
      <c r="D20" s="7" t="s">
        <v>79</v>
      </c>
      <c r="E20" s="7" t="s">
        <v>142</v>
      </c>
      <c r="F20" s="7" t="s">
        <v>78</v>
      </c>
      <c r="G20" s="7" t="s">
        <v>134</v>
      </c>
      <c r="H20" s="7" t="s">
        <v>123</v>
      </c>
      <c r="I20" s="7" t="n">
        <v>2</v>
      </c>
      <c r="J20" s="15" t="n">
        <v>1467.9</v>
      </c>
      <c r="K20" s="16"/>
      <c r="L20" s="17" t="str">
        <f aca="false">IF(K20="","",K20-N(J20))</f>
        <v/>
      </c>
      <c r="M20" s="18" t="str">
        <f aca="false">IF(OR(K20="",N(J20)=0),"",L20/J20)</f>
        <v/>
      </c>
      <c r="N20" s="15" t="n">
        <v>1420.5</v>
      </c>
      <c r="O20" s="16"/>
      <c r="P20" s="17" t="str">
        <f aca="false">IF(O20="","",O20-N(N20))</f>
        <v/>
      </c>
      <c r="Q20" s="18" t="str">
        <f aca="false">IF(OR(O20="",N(N20)=0),"",P20/N20)</f>
        <v/>
      </c>
      <c r="R20" s="15"/>
      <c r="S20" s="16"/>
      <c r="T20" s="17" t="str">
        <f aca="false">IF(S20="","",S20-N(R20))</f>
        <v/>
      </c>
      <c r="U20" s="18" t="str">
        <f aca="false">IF(OR(S20="",N(R20)=0),"",T20/R20)</f>
        <v/>
      </c>
      <c r="V20" s="19" t="n">
        <v>0.43</v>
      </c>
      <c r="W20" s="19"/>
      <c r="X20" s="8" t="n">
        <v>610.82</v>
      </c>
      <c r="Y20" s="10" t="str">
        <f aca="false">IF(O20="","",ROUND(O20*N(V20),2))</f>
        <v/>
      </c>
      <c r="Z20" s="10" t="str">
        <f aca="false">IF(Y20="","",Y20-N(X20))</f>
        <v/>
      </c>
      <c r="AA20" s="8"/>
      <c r="AB20" s="10" t="str">
        <f aca="false">IF(S20="","",ROUND(S20*N(W20),2))</f>
        <v/>
      </c>
      <c r="AC20" s="10" t="str">
        <f aca="false">IF(AB20="","",AB20-N(AA20))</f>
        <v/>
      </c>
      <c r="AD20" s="8" t="n">
        <v>4100</v>
      </c>
      <c r="AE20" s="7" t="n">
        <v>3</v>
      </c>
      <c r="AF20" s="8" t="n">
        <v>1905.39</v>
      </c>
    </row>
    <row r="21" customFormat="false" ht="15" hidden="false" customHeight="false" outlineLevel="0" collapsed="false">
      <c r="A21" s="7" t="n">
        <v>5767</v>
      </c>
      <c r="B21" s="7" t="s">
        <v>61</v>
      </c>
      <c r="C21" s="7" t="s">
        <v>157</v>
      </c>
      <c r="D21" s="7" t="s">
        <v>79</v>
      </c>
      <c r="E21" s="7" t="s">
        <v>158</v>
      </c>
      <c r="F21" s="7" t="s">
        <v>78</v>
      </c>
      <c r="G21" s="7" t="s">
        <v>159</v>
      </c>
      <c r="H21" s="7" t="s">
        <v>123</v>
      </c>
      <c r="I21" s="7" t="n">
        <v>4</v>
      </c>
      <c r="J21" s="15" t="n">
        <v>1261.6</v>
      </c>
      <c r="K21" s="16"/>
      <c r="L21" s="17" t="str">
        <f aca="false">IF(K21="","",K21-N(J21))</f>
        <v/>
      </c>
      <c r="M21" s="18" t="str">
        <f aca="false">IF(OR(K21="",N(J21)=0),"",L21/J21)</f>
        <v/>
      </c>
      <c r="N21" s="15" t="n">
        <v>1130.4</v>
      </c>
      <c r="O21" s="16"/>
      <c r="P21" s="17" t="str">
        <f aca="false">IF(O21="","",O21-N(N21))</f>
        <v/>
      </c>
      <c r="Q21" s="18" t="str">
        <f aca="false">IF(OR(O21="",N(N21)=0),"",P21/N21)</f>
        <v/>
      </c>
      <c r="R21" s="15" t="n">
        <v>489.1</v>
      </c>
      <c r="S21" s="16"/>
      <c r="T21" s="17" t="str">
        <f aca="false">IF(S21="","",S21-N(R21))</f>
        <v/>
      </c>
      <c r="U21" s="18" t="str">
        <f aca="false">IF(OR(S21="",N(R21)=0),"",T21/R21)</f>
        <v/>
      </c>
      <c r="V21" s="19" t="n">
        <v>0.43</v>
      </c>
      <c r="W21" s="19" t="n">
        <v>0.43</v>
      </c>
      <c r="X21" s="8" t="n">
        <v>486.07</v>
      </c>
      <c r="Y21" s="10" t="str">
        <f aca="false">IF(O21="","",ROUND(O21*N(V21),2))</f>
        <v/>
      </c>
      <c r="Z21" s="10" t="str">
        <f aca="false">IF(Y21="","",Y21-N(X21))</f>
        <v/>
      </c>
      <c r="AA21" s="8" t="n">
        <v>210.31</v>
      </c>
      <c r="AB21" s="10" t="str">
        <f aca="false">IF(S21="","",ROUND(S21*N(W21),2))</f>
        <v/>
      </c>
      <c r="AC21" s="10" t="str">
        <f aca="false">IF(AB21="","",AB21-N(AA21))</f>
        <v/>
      </c>
      <c r="AD21" s="8" t="n">
        <v>3000</v>
      </c>
      <c r="AE21" s="7" t="n">
        <v>2</v>
      </c>
      <c r="AF21" s="8" t="n">
        <v>768.29</v>
      </c>
    </row>
    <row r="22" customFormat="false" ht="15" hidden="false" customHeight="false" outlineLevel="0" collapsed="false">
      <c r="A22" s="7" t="n">
        <v>5768</v>
      </c>
      <c r="B22" s="7" t="s">
        <v>61</v>
      </c>
      <c r="C22" s="7" t="s">
        <v>160</v>
      </c>
      <c r="D22" s="7" t="s">
        <v>81</v>
      </c>
      <c r="E22" s="7" t="s">
        <v>142</v>
      </c>
      <c r="F22" s="7" t="s">
        <v>80</v>
      </c>
      <c r="G22" s="7" t="s">
        <v>161</v>
      </c>
      <c r="H22" s="7" t="s">
        <v>123</v>
      </c>
      <c r="I22" s="7" t="n">
        <v>3</v>
      </c>
      <c r="J22" s="15" t="n">
        <v>1261.1</v>
      </c>
      <c r="K22" s="16"/>
      <c r="L22" s="17" t="str">
        <f aca="false">IF(K22="","",K22-N(J22))</f>
        <v/>
      </c>
      <c r="M22" s="18" t="str">
        <f aca="false">IF(OR(K22="",N(J22)=0),"",L22/J22)</f>
        <v/>
      </c>
      <c r="N22" s="15" t="n">
        <v>1249.9</v>
      </c>
      <c r="O22" s="16"/>
      <c r="P22" s="17" t="str">
        <f aca="false">IF(O22="","",O22-N(N22))</f>
        <v/>
      </c>
      <c r="Q22" s="18" t="str">
        <f aca="false">IF(OR(O22="",N(N22)=0),"",P22/N22)</f>
        <v/>
      </c>
      <c r="R22" s="15"/>
      <c r="S22" s="16"/>
      <c r="T22" s="17" t="str">
        <f aca="false">IF(S22="","",S22-N(R22))</f>
        <v/>
      </c>
      <c r="U22" s="18" t="str">
        <f aca="false">IF(OR(S22="",N(R22)=0),"",T22/R22)</f>
        <v/>
      </c>
      <c r="V22" s="19" t="n">
        <v>0.45</v>
      </c>
      <c r="W22" s="19"/>
      <c r="X22" s="8" t="n">
        <v>562.46</v>
      </c>
      <c r="Y22" s="10" t="str">
        <f aca="false">IF(O22="","",ROUND(O22*N(V22),2))</f>
        <v/>
      </c>
      <c r="Z22" s="10" t="str">
        <f aca="false">IF(Y22="","",Y22-N(X22))</f>
        <v/>
      </c>
      <c r="AA22" s="8"/>
      <c r="AB22" s="10" t="str">
        <f aca="false">IF(S22="","",ROUND(S22*N(W22),2))</f>
        <v/>
      </c>
      <c r="AC22" s="10" t="str">
        <f aca="false">IF(AB22="","",AB22-N(AA22))</f>
        <v/>
      </c>
      <c r="AD22" s="8" t="n">
        <v>3800</v>
      </c>
      <c r="AE22" s="7" t="n">
        <v>3</v>
      </c>
      <c r="AF22" s="8" t="n">
        <v>1822</v>
      </c>
    </row>
    <row r="23" customFormat="false" ht="15" hidden="false" customHeight="false" outlineLevel="0" collapsed="false">
      <c r="A23" s="7" t="n">
        <v>5768</v>
      </c>
      <c r="B23" s="7" t="s">
        <v>61</v>
      </c>
      <c r="C23" s="7" t="s">
        <v>162</v>
      </c>
      <c r="D23" s="7" t="s">
        <v>81</v>
      </c>
      <c r="E23" s="7" t="s">
        <v>142</v>
      </c>
      <c r="F23" s="7" t="s">
        <v>80</v>
      </c>
      <c r="G23" s="7" t="s">
        <v>136</v>
      </c>
      <c r="H23" s="7" t="s">
        <v>123</v>
      </c>
      <c r="I23" s="7" t="n">
        <v>4</v>
      </c>
      <c r="J23" s="15" t="n">
        <v>1549.1</v>
      </c>
      <c r="K23" s="16"/>
      <c r="L23" s="17" t="str">
        <f aca="false">IF(K23="","",K23-N(J23))</f>
        <v/>
      </c>
      <c r="M23" s="18" t="str">
        <f aca="false">IF(OR(K23="",N(J23)=0),"",L23/J23)</f>
        <v/>
      </c>
      <c r="N23" s="15" t="n">
        <v>1312.4</v>
      </c>
      <c r="O23" s="16"/>
      <c r="P23" s="17" t="str">
        <f aca="false">IF(O23="","",O23-N(N23))</f>
        <v/>
      </c>
      <c r="Q23" s="18" t="str">
        <f aca="false">IF(OR(O23="",N(N23)=0),"",P23/N23)</f>
        <v/>
      </c>
      <c r="R23" s="15" t="n">
        <v>166.8</v>
      </c>
      <c r="S23" s="16"/>
      <c r="T23" s="17" t="str">
        <f aca="false">IF(S23="","",S23-N(R23))</f>
        <v/>
      </c>
      <c r="U23" s="18" t="str">
        <f aca="false">IF(OR(S23="",N(R23)=0),"",T23/R23)</f>
        <v/>
      </c>
      <c r="V23" s="19" t="n">
        <v>0.45</v>
      </c>
      <c r="W23" s="19" t="n">
        <v>0.45</v>
      </c>
      <c r="X23" s="8" t="n">
        <v>590.58</v>
      </c>
      <c r="Y23" s="10" t="str">
        <f aca="false">IF(O23="","",ROUND(O23*N(V23),2))</f>
        <v/>
      </c>
      <c r="Z23" s="10" t="str">
        <f aca="false">IF(Y23="","",Y23-N(X23))</f>
        <v/>
      </c>
      <c r="AA23" s="8" t="n">
        <v>75.06</v>
      </c>
      <c r="AB23" s="10" t="str">
        <f aca="false">IF(S23="","",ROUND(S23*N(W23),2))</f>
        <v/>
      </c>
      <c r="AC23" s="10" t="str">
        <f aca="false">IF(AB23="","",AB23-N(AA23))</f>
        <v/>
      </c>
      <c r="AD23" s="8" t="n">
        <v>3500</v>
      </c>
      <c r="AE23" s="7" t="n">
        <v>2</v>
      </c>
      <c r="AF23" s="8" t="n">
        <v>1147.49</v>
      </c>
    </row>
    <row r="24" customFormat="false" ht="15" hidden="false" customHeight="false" outlineLevel="0" collapsed="false">
      <c r="A24" s="7" t="n">
        <v>5769</v>
      </c>
      <c r="B24" s="7" t="s">
        <v>61</v>
      </c>
      <c r="C24" s="7" t="s">
        <v>163</v>
      </c>
      <c r="D24" s="7" t="s">
        <v>83</v>
      </c>
      <c r="E24" s="7" t="s">
        <v>164</v>
      </c>
      <c r="F24" s="7" t="s">
        <v>82</v>
      </c>
      <c r="G24" s="7" t="s">
        <v>165</v>
      </c>
      <c r="H24" s="7" t="s">
        <v>123</v>
      </c>
      <c r="I24" s="7" t="n">
        <v>2</v>
      </c>
      <c r="J24" s="15" t="n">
        <v>1315.2</v>
      </c>
      <c r="K24" s="16"/>
      <c r="L24" s="17" t="str">
        <f aca="false">IF(K24="","",K24-N(J24))</f>
        <v/>
      </c>
      <c r="M24" s="18" t="str">
        <f aca="false">IF(OR(K24="",N(J24)=0),"",L24/J24)</f>
        <v/>
      </c>
      <c r="N24" s="15" t="n">
        <v>1263.9</v>
      </c>
      <c r="O24" s="16"/>
      <c r="P24" s="17" t="str">
        <f aca="false">IF(O24="","",O24-N(N24))</f>
        <v/>
      </c>
      <c r="Q24" s="18" t="str">
        <f aca="false">IF(OR(O24="",N(N24)=0),"",P24/N24)</f>
        <v/>
      </c>
      <c r="R24" s="15"/>
      <c r="S24" s="16"/>
      <c r="T24" s="17" t="str">
        <f aca="false">IF(S24="","",S24-N(R24))</f>
        <v/>
      </c>
      <c r="U24" s="18" t="str">
        <f aca="false">IF(OR(S24="",N(R24)=0),"",T24/R24)</f>
        <v/>
      </c>
      <c r="V24" s="19" t="n">
        <v>0.45</v>
      </c>
      <c r="W24" s="19"/>
      <c r="X24" s="8" t="n">
        <v>568.76</v>
      </c>
      <c r="Y24" s="10" t="str">
        <f aca="false">IF(O24="","",ROUND(O24*N(V24),2))</f>
        <v/>
      </c>
      <c r="Z24" s="10" t="str">
        <f aca="false">IF(Y24="","",Y24-N(X24))</f>
        <v/>
      </c>
      <c r="AA24" s="8"/>
      <c r="AB24" s="10" t="str">
        <f aca="false">IF(S24="","",ROUND(S24*N(W24),2))</f>
        <v/>
      </c>
      <c r="AC24" s="10" t="str">
        <f aca="false">IF(AB24="","",AB24-N(AA24))</f>
        <v/>
      </c>
      <c r="AD24" s="8" t="n">
        <v>3800</v>
      </c>
      <c r="AE24" s="7" t="n">
        <v>0</v>
      </c>
      <c r="AF24" s="8" t="n">
        <v>0</v>
      </c>
    </row>
    <row r="25" customFormat="false" ht="15" hidden="false" customHeight="false" outlineLevel="0" collapsed="false">
      <c r="A25" s="7" t="n">
        <v>5769</v>
      </c>
      <c r="B25" s="7" t="s">
        <v>61</v>
      </c>
      <c r="C25" s="7" t="s">
        <v>166</v>
      </c>
      <c r="D25" s="7" t="s">
        <v>83</v>
      </c>
      <c r="E25" s="7" t="s">
        <v>164</v>
      </c>
      <c r="F25" s="7" t="s">
        <v>82</v>
      </c>
      <c r="G25" s="7" t="s">
        <v>167</v>
      </c>
      <c r="H25" s="7" t="s">
        <v>123</v>
      </c>
      <c r="I25" s="7" t="n">
        <v>3</v>
      </c>
      <c r="J25" s="15" t="n">
        <v>1353</v>
      </c>
      <c r="K25" s="16"/>
      <c r="L25" s="17" t="str">
        <f aca="false">IF(K25="","",K25-N(J25))</f>
        <v/>
      </c>
      <c r="M25" s="18" t="str">
        <f aca="false">IF(OR(K25="",N(J25)=0),"",L25/J25)</f>
        <v/>
      </c>
      <c r="N25" s="15" t="n">
        <v>1284</v>
      </c>
      <c r="O25" s="16"/>
      <c r="P25" s="17" t="str">
        <f aca="false">IF(O25="","",O25-N(N25))</f>
        <v/>
      </c>
      <c r="Q25" s="18" t="str">
        <f aca="false">IF(OR(O25="",N(N25)=0),"",P25/N25)</f>
        <v/>
      </c>
      <c r="R25" s="15" t="n">
        <v>19.9</v>
      </c>
      <c r="S25" s="16"/>
      <c r="T25" s="17" t="str">
        <f aca="false">IF(S25="","",S25-N(R25))</f>
        <v/>
      </c>
      <c r="U25" s="18" t="str">
        <f aca="false">IF(OR(S25="",N(R25)=0),"",T25/R25)</f>
        <v/>
      </c>
      <c r="V25" s="19" t="n">
        <v>0.45</v>
      </c>
      <c r="W25" s="19" t="n">
        <v>0.45</v>
      </c>
      <c r="X25" s="8" t="n">
        <v>577.8</v>
      </c>
      <c r="Y25" s="10" t="str">
        <f aca="false">IF(O25="","",ROUND(O25*N(V25),2))</f>
        <v/>
      </c>
      <c r="Z25" s="10" t="str">
        <f aca="false">IF(Y25="","",Y25-N(X25))</f>
        <v/>
      </c>
      <c r="AA25" s="8" t="n">
        <v>8.96</v>
      </c>
      <c r="AB25" s="10" t="str">
        <f aca="false">IF(S25="","",ROUND(S25*N(W25),2))</f>
        <v/>
      </c>
      <c r="AC25" s="10" t="str">
        <f aca="false">IF(AB25="","",AB25-N(AA25))</f>
        <v/>
      </c>
      <c r="AD25" s="8" t="n">
        <v>2500</v>
      </c>
      <c r="AE25" s="7" t="n">
        <v>2</v>
      </c>
      <c r="AF25" s="8" t="n">
        <v>1278.22</v>
      </c>
    </row>
    <row r="26" customFormat="false" ht="15" hidden="false" customHeight="false" outlineLevel="0" collapsed="false">
      <c r="A26" s="7" t="n">
        <v>5770</v>
      </c>
      <c r="B26" s="7" t="s">
        <v>61</v>
      </c>
      <c r="C26" s="7" t="s">
        <v>168</v>
      </c>
      <c r="D26" s="7" t="s">
        <v>74</v>
      </c>
      <c r="E26" s="7" t="s">
        <v>169</v>
      </c>
      <c r="F26" s="7" t="s">
        <v>62</v>
      </c>
      <c r="G26" s="7" t="s">
        <v>126</v>
      </c>
      <c r="H26" s="7" t="s">
        <v>123</v>
      </c>
      <c r="I26" s="7" t="n">
        <v>2</v>
      </c>
      <c r="J26" s="15" t="n">
        <v>1953.9</v>
      </c>
      <c r="K26" s="16"/>
      <c r="L26" s="17" t="str">
        <f aca="false">IF(K26="","",K26-N(J26))</f>
        <v/>
      </c>
      <c r="M26" s="18" t="str">
        <f aca="false">IF(OR(K26="",N(J26)=0),"",L26/J26)</f>
        <v/>
      </c>
      <c r="N26" s="15" t="n">
        <v>1894.3</v>
      </c>
      <c r="O26" s="16"/>
      <c r="P26" s="17" t="str">
        <f aca="false">IF(O26="","",O26-N(N26))</f>
        <v/>
      </c>
      <c r="Q26" s="18" t="str">
        <f aca="false">IF(OR(O26="",N(N26)=0),"",P26/N26)</f>
        <v/>
      </c>
      <c r="R26" s="15"/>
      <c r="S26" s="16"/>
      <c r="T26" s="17" t="str">
        <f aca="false">IF(S26="","",S26-N(R26))</f>
        <v/>
      </c>
      <c r="U26" s="18" t="str">
        <f aca="false">IF(OR(S26="",N(R26)=0),"",T26/R26)</f>
        <v/>
      </c>
      <c r="V26" s="19" t="n">
        <v>0.5</v>
      </c>
      <c r="W26" s="19"/>
      <c r="X26" s="8" t="n">
        <v>947.15</v>
      </c>
      <c r="Y26" s="10" t="str">
        <f aca="false">IF(O26="","",ROUND(O26*N(V26),2))</f>
        <v/>
      </c>
      <c r="Z26" s="10" t="str">
        <f aca="false">IF(Y26="","",Y26-N(X26))</f>
        <v/>
      </c>
      <c r="AA26" s="8"/>
      <c r="AB26" s="10" t="str">
        <f aca="false">IF(S26="","",ROUND(S26*N(W26),2))</f>
        <v/>
      </c>
      <c r="AC26" s="10" t="str">
        <f aca="false">IF(AB26="","",AB26-N(AA26))</f>
        <v/>
      </c>
      <c r="AD26" s="8" t="n">
        <v>4900</v>
      </c>
      <c r="AE26" s="7" t="n">
        <v>3</v>
      </c>
      <c r="AF26" s="8" t="n">
        <v>1770.91</v>
      </c>
    </row>
    <row r="27" customFormat="false" ht="15" hidden="false" customHeight="false" outlineLevel="0" collapsed="false">
      <c r="A27" s="7" t="n">
        <v>5770</v>
      </c>
      <c r="B27" s="7" t="s">
        <v>61</v>
      </c>
      <c r="C27" s="7" t="s">
        <v>170</v>
      </c>
      <c r="D27" s="7" t="s">
        <v>74</v>
      </c>
      <c r="E27" s="7" t="s">
        <v>121</v>
      </c>
      <c r="F27" s="7" t="s">
        <v>62</v>
      </c>
      <c r="G27" s="7" t="s">
        <v>171</v>
      </c>
      <c r="H27" s="7" t="s">
        <v>123</v>
      </c>
      <c r="I27" s="7" t="n">
        <v>3</v>
      </c>
      <c r="J27" s="15" t="n">
        <v>1967.3</v>
      </c>
      <c r="K27" s="16"/>
      <c r="L27" s="17" t="str">
        <f aca="false">IF(K27="","",K27-N(J27))</f>
        <v/>
      </c>
      <c r="M27" s="18" t="str">
        <f aca="false">IF(OR(K27="",N(J27)=0),"",L27/J27)</f>
        <v/>
      </c>
      <c r="N27" s="15" t="n">
        <v>1813.3</v>
      </c>
      <c r="O27" s="16"/>
      <c r="P27" s="17" t="str">
        <f aca="false">IF(O27="","",O27-N(N27))</f>
        <v/>
      </c>
      <c r="Q27" s="18" t="str">
        <f aca="false">IF(OR(O27="",N(N27)=0),"",P27/N27)</f>
        <v/>
      </c>
      <c r="R27" s="15" t="n">
        <v>107.4</v>
      </c>
      <c r="S27" s="16"/>
      <c r="T27" s="17" t="str">
        <f aca="false">IF(S27="","",S27-N(R27))</f>
        <v/>
      </c>
      <c r="U27" s="18" t="str">
        <f aca="false">IF(OR(S27="",N(R27)=0),"",T27/R27)</f>
        <v/>
      </c>
      <c r="V27" s="19" t="n">
        <v>0.5</v>
      </c>
      <c r="W27" s="19" t="n">
        <v>0.5</v>
      </c>
      <c r="X27" s="8" t="n">
        <v>906.65</v>
      </c>
      <c r="Y27" s="10" t="str">
        <f aca="false">IF(O27="","",ROUND(O27*N(V27),2))</f>
        <v/>
      </c>
      <c r="Z27" s="10" t="str">
        <f aca="false">IF(Y27="","",Y27-N(X27))</f>
        <v/>
      </c>
      <c r="AA27" s="8" t="n">
        <v>53.7</v>
      </c>
      <c r="AB27" s="10" t="str">
        <f aca="false">IF(S27="","",ROUND(S27*N(W27),2))</f>
        <v/>
      </c>
      <c r="AC27" s="10" t="str">
        <f aca="false">IF(AB27="","",AB27-N(AA27))</f>
        <v/>
      </c>
      <c r="AD27" s="8" t="n">
        <v>4400</v>
      </c>
      <c r="AE27" s="7" t="n">
        <v>2</v>
      </c>
      <c r="AF27" s="8" t="n">
        <v>1450.79</v>
      </c>
    </row>
    <row r="28" customFormat="false" ht="15" hidden="false" customHeight="false" outlineLevel="0" collapsed="false">
      <c r="A28" s="7" t="n">
        <v>5771</v>
      </c>
      <c r="B28" s="7" t="s">
        <v>61</v>
      </c>
      <c r="C28" s="7" t="s">
        <v>172</v>
      </c>
      <c r="D28" s="7" t="s">
        <v>84</v>
      </c>
      <c r="E28" s="7" t="s">
        <v>125</v>
      </c>
      <c r="F28" s="7" t="s">
        <v>72</v>
      </c>
      <c r="G28" s="7" t="s">
        <v>126</v>
      </c>
      <c r="H28" s="7" t="s">
        <v>123</v>
      </c>
      <c r="I28" s="7" t="n">
        <v>2</v>
      </c>
      <c r="J28" s="15" t="n">
        <v>1958.9</v>
      </c>
      <c r="K28" s="16"/>
      <c r="L28" s="17" t="str">
        <f aca="false">IF(K28="","",K28-N(J28))</f>
        <v/>
      </c>
      <c r="M28" s="18" t="str">
        <f aca="false">IF(OR(K28="",N(J28)=0),"",L28/J28)</f>
        <v/>
      </c>
      <c r="N28" s="15" t="n">
        <v>1890.2</v>
      </c>
      <c r="O28" s="16"/>
      <c r="P28" s="17" t="str">
        <f aca="false">IF(O28="","",O28-N(N28))</f>
        <v/>
      </c>
      <c r="Q28" s="18" t="str">
        <f aca="false">IF(OR(O28="",N(N28)=0),"",P28/N28)</f>
        <v/>
      </c>
      <c r="R28" s="15"/>
      <c r="S28" s="16"/>
      <c r="T28" s="17" t="str">
        <f aca="false">IF(S28="","",S28-N(R28))</f>
        <v/>
      </c>
      <c r="U28" s="18" t="str">
        <f aca="false">IF(OR(S28="",N(R28)=0),"",T28/R28)</f>
        <v/>
      </c>
      <c r="V28" s="19" t="n">
        <v>0.5</v>
      </c>
      <c r="W28" s="19"/>
      <c r="X28" s="8" t="n">
        <v>945.1</v>
      </c>
      <c r="Y28" s="10" t="str">
        <f aca="false">IF(O28="","",ROUND(O28*N(V28),2))</f>
        <v/>
      </c>
      <c r="Z28" s="10" t="str">
        <f aca="false">IF(Y28="","",Y28-N(X28))</f>
        <v/>
      </c>
      <c r="AA28" s="8"/>
      <c r="AB28" s="10" t="str">
        <f aca="false">IF(S28="","",ROUND(S28*N(W28),2))</f>
        <v/>
      </c>
      <c r="AC28" s="10" t="str">
        <f aca="false">IF(AB28="","",AB28-N(AA28))</f>
        <v/>
      </c>
      <c r="AD28" s="8" t="n">
        <v>4900</v>
      </c>
      <c r="AE28" s="7" t="n">
        <v>2</v>
      </c>
      <c r="AF28" s="8" t="n">
        <v>1713.5</v>
      </c>
    </row>
    <row r="29" customFormat="false" ht="15" hidden="false" customHeight="false" outlineLevel="0" collapsed="false">
      <c r="A29" s="7" t="n">
        <v>5771</v>
      </c>
      <c r="B29" s="7" t="s">
        <v>61</v>
      </c>
      <c r="C29" s="7" t="s">
        <v>173</v>
      </c>
      <c r="D29" s="7" t="s">
        <v>84</v>
      </c>
      <c r="E29" s="7" t="s">
        <v>125</v>
      </c>
      <c r="F29" s="7" t="s">
        <v>72</v>
      </c>
      <c r="G29" s="7" t="s">
        <v>174</v>
      </c>
      <c r="H29" s="7" t="s">
        <v>123</v>
      </c>
      <c r="I29" s="7" t="n">
        <v>4</v>
      </c>
      <c r="J29" s="15" t="n">
        <v>1984.3</v>
      </c>
      <c r="K29" s="16"/>
      <c r="L29" s="17" t="str">
        <f aca="false">IF(K29="","",K29-N(J29))</f>
        <v/>
      </c>
      <c r="M29" s="18" t="str">
        <f aca="false">IF(OR(K29="",N(J29)=0),"",L29/J29)</f>
        <v/>
      </c>
      <c r="N29" s="15" t="n">
        <v>1574.8</v>
      </c>
      <c r="O29" s="16"/>
      <c r="P29" s="17" t="str">
        <f aca="false">IF(O29="","",O29-N(N29))</f>
        <v/>
      </c>
      <c r="Q29" s="18" t="str">
        <f aca="false">IF(OR(O29="",N(N29)=0),"",P29/N29)</f>
        <v/>
      </c>
      <c r="R29" s="15" t="n">
        <v>353.2</v>
      </c>
      <c r="S29" s="16"/>
      <c r="T29" s="17" t="str">
        <f aca="false">IF(S29="","",S29-N(R29))</f>
        <v/>
      </c>
      <c r="U29" s="18" t="str">
        <f aca="false">IF(OR(S29="",N(R29)=0),"",T29/R29)</f>
        <v/>
      </c>
      <c r="V29" s="19" t="n">
        <v>0.5</v>
      </c>
      <c r="W29" s="19" t="n">
        <v>0.5</v>
      </c>
      <c r="X29" s="8" t="n">
        <v>787.4</v>
      </c>
      <c r="Y29" s="10" t="str">
        <f aca="false">IF(O29="","",ROUND(O29*N(V29),2))</f>
        <v/>
      </c>
      <c r="Z29" s="10" t="str">
        <f aca="false">IF(Y29="","",Y29-N(X29))</f>
        <v/>
      </c>
      <c r="AA29" s="8" t="n">
        <v>176.6</v>
      </c>
      <c r="AB29" s="10" t="str">
        <f aca="false">IF(S29="","",ROUND(S29*N(W29),2))</f>
        <v/>
      </c>
      <c r="AC29" s="10" t="str">
        <f aca="false">IF(AB29="","",AB29-N(AA29))</f>
        <v/>
      </c>
      <c r="AD29" s="8" t="n">
        <v>3000</v>
      </c>
      <c r="AE29" s="7" t="n">
        <v>2</v>
      </c>
      <c r="AF29" s="8" t="n">
        <v>1458.16</v>
      </c>
    </row>
    <row r="30" customFormat="false" ht="15" hidden="false" customHeight="false" outlineLevel="0" collapsed="false">
      <c r="A30" s="7" t="n">
        <v>5772</v>
      </c>
      <c r="B30" s="7" t="s">
        <v>75</v>
      </c>
      <c r="C30" s="7" t="s">
        <v>175</v>
      </c>
      <c r="D30" s="7" t="s">
        <v>86</v>
      </c>
      <c r="E30" s="7" t="s">
        <v>176</v>
      </c>
      <c r="F30" s="7" t="s">
        <v>85</v>
      </c>
      <c r="G30" s="7" t="s">
        <v>165</v>
      </c>
      <c r="H30" s="7" t="s">
        <v>123</v>
      </c>
      <c r="I30" s="7" t="n">
        <v>2</v>
      </c>
      <c r="J30" s="15" t="n">
        <v>1114.9</v>
      </c>
      <c r="K30" s="16"/>
      <c r="L30" s="17" t="str">
        <f aca="false">IF(K30="","",K30-N(J30))</f>
        <v/>
      </c>
      <c r="M30" s="18" t="str">
        <f aca="false">IF(OR(K30="",N(J30)=0),"",L30/J30)</f>
        <v/>
      </c>
      <c r="N30" s="15" t="n">
        <v>1079.7</v>
      </c>
      <c r="O30" s="16"/>
      <c r="P30" s="17" t="str">
        <f aca="false">IF(O30="","",O30-N(N30))</f>
        <v/>
      </c>
      <c r="Q30" s="18" t="str">
        <f aca="false">IF(OR(O30="",N(N30)=0),"",P30/N30)</f>
        <v/>
      </c>
      <c r="R30" s="15"/>
      <c r="S30" s="16"/>
      <c r="T30" s="17" t="str">
        <f aca="false">IF(S30="","",S30-N(R30))</f>
        <v/>
      </c>
      <c r="U30" s="18" t="str">
        <f aca="false">IF(OR(S30="",N(R30)=0),"",T30/R30)</f>
        <v/>
      </c>
      <c r="V30" s="19" t="n">
        <v>0.45</v>
      </c>
      <c r="W30" s="19"/>
      <c r="X30" s="8" t="n">
        <v>485.87</v>
      </c>
      <c r="Y30" s="10" t="str">
        <f aca="false">IF(O30="","",ROUND(O30*N(V30),2))</f>
        <v/>
      </c>
      <c r="Z30" s="10" t="str">
        <f aca="false">IF(Y30="","",Y30-N(X30))</f>
        <v/>
      </c>
      <c r="AA30" s="8"/>
      <c r="AB30" s="10" t="str">
        <f aca="false">IF(S30="","",ROUND(S30*N(W30),2))</f>
        <v/>
      </c>
      <c r="AC30" s="10" t="str">
        <f aca="false">IF(AB30="","",AB30-N(AA30))</f>
        <v/>
      </c>
      <c r="AD30" s="8" t="n">
        <v>3800</v>
      </c>
      <c r="AE30" s="7" t="n">
        <v>3</v>
      </c>
      <c r="AF30" s="8" t="n">
        <v>1729.3</v>
      </c>
    </row>
    <row r="31" customFormat="false" ht="15" hidden="false" customHeight="false" outlineLevel="0" collapsed="false">
      <c r="A31" s="7" t="n">
        <v>5772</v>
      </c>
      <c r="B31" s="7" t="s">
        <v>75</v>
      </c>
      <c r="C31" s="7" t="s">
        <v>177</v>
      </c>
      <c r="D31" s="7" t="s">
        <v>86</v>
      </c>
      <c r="E31" s="7" t="s">
        <v>176</v>
      </c>
      <c r="F31" s="7" t="s">
        <v>85</v>
      </c>
      <c r="G31" s="7" t="s">
        <v>178</v>
      </c>
      <c r="H31" s="7" t="s">
        <v>123</v>
      </c>
      <c r="I31" s="7" t="n">
        <v>3</v>
      </c>
      <c r="J31" s="15" t="n">
        <v>535.4</v>
      </c>
      <c r="K31" s="16"/>
      <c r="L31" s="17" t="str">
        <f aca="false">IF(K31="","",K31-N(J31))</f>
        <v/>
      </c>
      <c r="M31" s="18" t="str">
        <f aca="false">IF(OR(K31="",N(J31)=0),"",L31/J31)</f>
        <v/>
      </c>
      <c r="N31" s="15" t="n">
        <v>414.2</v>
      </c>
      <c r="O31" s="16"/>
      <c r="P31" s="17" t="str">
        <f aca="false">IF(O31="","",O31-N(N31))</f>
        <v/>
      </c>
      <c r="Q31" s="18" t="str">
        <f aca="false">IF(OR(O31="",N(N31)=0),"",P31/N31)</f>
        <v/>
      </c>
      <c r="R31" s="15" t="n">
        <v>93.7</v>
      </c>
      <c r="S31" s="16"/>
      <c r="T31" s="17" t="str">
        <f aca="false">IF(S31="","",S31-N(R31))</f>
        <v/>
      </c>
      <c r="U31" s="18" t="str">
        <f aca="false">IF(OR(S31="",N(R31)=0),"",T31/R31)</f>
        <v/>
      </c>
      <c r="V31" s="19" t="n">
        <v>0.45</v>
      </c>
      <c r="W31" s="19" t="n">
        <v>0.45</v>
      </c>
      <c r="X31" s="8" t="n">
        <v>186.39</v>
      </c>
      <c r="Y31" s="10" t="str">
        <f aca="false">IF(O31="","",ROUND(O31*N(V31),2))</f>
        <v/>
      </c>
      <c r="Z31" s="10" t="str">
        <f aca="false">IF(Y31="","",Y31-N(X31))</f>
        <v/>
      </c>
      <c r="AA31" s="8" t="n">
        <v>42.17</v>
      </c>
      <c r="AB31" s="10" t="str">
        <f aca="false">IF(S31="","",ROUND(S31*N(W31),2))</f>
        <v/>
      </c>
      <c r="AC31" s="10" t="str">
        <f aca="false">IF(AB31="","",AB31-N(AA31))</f>
        <v/>
      </c>
      <c r="AD31" s="8" t="n">
        <v>1200</v>
      </c>
      <c r="AE31" s="7" t="n">
        <v>1</v>
      </c>
      <c r="AF31" s="8" t="n">
        <v>449.47</v>
      </c>
    </row>
    <row r="32" customFormat="false" ht="15" hidden="false" customHeight="false" outlineLevel="0" collapsed="false">
      <c r="A32" s="7" t="n">
        <v>5772</v>
      </c>
      <c r="B32" s="7" t="s">
        <v>75</v>
      </c>
      <c r="C32" s="7" t="s">
        <v>179</v>
      </c>
      <c r="D32" s="7" t="s">
        <v>86</v>
      </c>
      <c r="E32" s="7" t="s">
        <v>180</v>
      </c>
      <c r="F32" s="7" t="s">
        <v>85</v>
      </c>
      <c r="G32" s="7" t="s">
        <v>181</v>
      </c>
      <c r="H32" s="7" t="s">
        <v>123</v>
      </c>
      <c r="I32" s="7" t="n">
        <v>3</v>
      </c>
      <c r="J32" s="15" t="n">
        <v>954.2</v>
      </c>
      <c r="K32" s="16"/>
      <c r="L32" s="17" t="str">
        <f aca="false">IF(K32="","",K32-N(J32))</f>
        <v/>
      </c>
      <c r="M32" s="18" t="str">
        <f aca="false">IF(OR(K32="",N(J32)=0),"",L32/J32)</f>
        <v/>
      </c>
      <c r="N32" s="15" t="n">
        <v>716.8</v>
      </c>
      <c r="O32" s="16"/>
      <c r="P32" s="17" t="str">
        <f aca="false">IF(O32="","",O32-N(N32))</f>
        <v/>
      </c>
      <c r="Q32" s="18" t="str">
        <f aca="false">IF(OR(O32="",N(N32)=0),"",P32/N32)</f>
        <v/>
      </c>
      <c r="R32" s="15" t="n">
        <v>222</v>
      </c>
      <c r="S32" s="16"/>
      <c r="T32" s="17" t="str">
        <f aca="false">IF(S32="","",S32-N(R32))</f>
        <v/>
      </c>
      <c r="U32" s="18" t="str">
        <f aca="false">IF(OR(S32="",N(R32)=0),"",T32/R32)</f>
        <v/>
      </c>
      <c r="V32" s="19" t="n">
        <v>0.45</v>
      </c>
      <c r="W32" s="19" t="n">
        <v>0.45</v>
      </c>
      <c r="X32" s="8" t="n">
        <v>322.56</v>
      </c>
      <c r="Y32" s="10" t="str">
        <f aca="false">IF(O32="","",ROUND(O32*N(V32),2))</f>
        <v/>
      </c>
      <c r="Z32" s="10" t="str">
        <f aca="false">IF(Y32="","",Y32-N(X32))</f>
        <v/>
      </c>
      <c r="AA32" s="8" t="n">
        <v>99.9</v>
      </c>
      <c r="AB32" s="10" t="str">
        <f aca="false">IF(S32="","",ROUND(S32*N(W32),2))</f>
        <v/>
      </c>
      <c r="AC32" s="10" t="str">
        <f aca="false">IF(AB32="","",AB32-N(AA32))</f>
        <v/>
      </c>
      <c r="AD32" s="8" t="n">
        <v>1700</v>
      </c>
      <c r="AE32" s="7" t="n">
        <v>1</v>
      </c>
      <c r="AF32" s="8" t="n">
        <v>1066.44</v>
      </c>
    </row>
    <row r="33" customFormat="false" ht="15" hidden="false" customHeight="false" outlineLevel="0" collapsed="false">
      <c r="A33" s="7" t="n">
        <v>5772</v>
      </c>
      <c r="B33" s="7" t="s">
        <v>75</v>
      </c>
      <c r="C33" s="7" t="s">
        <v>182</v>
      </c>
      <c r="D33" s="7" t="s">
        <v>86</v>
      </c>
      <c r="E33" s="7" t="s">
        <v>180</v>
      </c>
      <c r="F33" s="7" t="s">
        <v>85</v>
      </c>
      <c r="G33" s="7" t="s">
        <v>183</v>
      </c>
      <c r="H33" s="7" t="s">
        <v>123</v>
      </c>
      <c r="I33" s="7" t="n">
        <v>3</v>
      </c>
      <c r="J33" s="15" t="n">
        <v>552</v>
      </c>
      <c r="K33" s="16"/>
      <c r="L33" s="17" t="str">
        <f aca="false">IF(K33="","",K33-N(J33))</f>
        <v/>
      </c>
      <c r="M33" s="18" t="str">
        <f aca="false">IF(OR(K33="",N(J33)=0),"",L33/J33)</f>
        <v/>
      </c>
      <c r="N33" s="15" t="n">
        <v>436.1</v>
      </c>
      <c r="O33" s="16"/>
      <c r="P33" s="17" t="str">
        <f aca="false">IF(O33="","",O33-N(N33))</f>
        <v/>
      </c>
      <c r="Q33" s="18" t="str">
        <f aca="false">IF(OR(O33="",N(N33)=0),"",P33/N33)</f>
        <v/>
      </c>
      <c r="R33" s="15" t="n">
        <v>108.2</v>
      </c>
      <c r="S33" s="16"/>
      <c r="T33" s="17" t="str">
        <f aca="false">IF(S33="","",S33-N(R33))</f>
        <v/>
      </c>
      <c r="U33" s="18" t="str">
        <f aca="false">IF(OR(S33="",N(R33)=0),"",T33/R33)</f>
        <v/>
      </c>
      <c r="V33" s="19" t="n">
        <v>0.45</v>
      </c>
      <c r="W33" s="19" t="n">
        <v>0.45</v>
      </c>
      <c r="X33" s="8" t="n">
        <v>196.25</v>
      </c>
      <c r="Y33" s="10" t="str">
        <f aca="false">IF(O33="","",ROUND(O33*N(V33),2))</f>
        <v/>
      </c>
      <c r="Z33" s="10" t="str">
        <f aca="false">IF(Y33="","",Y33-N(X33))</f>
        <v/>
      </c>
      <c r="AA33" s="8" t="n">
        <v>48.69</v>
      </c>
      <c r="AB33" s="10" t="str">
        <f aca="false">IF(S33="","",ROUND(S33*N(W33),2))</f>
        <v/>
      </c>
      <c r="AC33" s="10" t="str">
        <f aca="false">IF(AB33="","",AB33-N(AA33))</f>
        <v/>
      </c>
      <c r="AD33" s="8" t="n">
        <v>525</v>
      </c>
      <c r="AE33" s="7" t="n">
        <v>1</v>
      </c>
      <c r="AF33" s="8" t="n">
        <v>734.19</v>
      </c>
    </row>
    <row r="34" customFormat="false" ht="15" hidden="false" customHeight="false" outlineLevel="0" collapsed="false">
      <c r="A34" s="7" t="n">
        <v>5773</v>
      </c>
      <c r="B34" s="7" t="s">
        <v>61</v>
      </c>
      <c r="C34" s="7" t="s">
        <v>184</v>
      </c>
      <c r="D34" s="7" t="s">
        <v>88</v>
      </c>
      <c r="E34" s="7" t="s">
        <v>185</v>
      </c>
      <c r="F34" s="7" t="s">
        <v>87</v>
      </c>
      <c r="G34" s="7" t="s">
        <v>186</v>
      </c>
      <c r="H34" s="7" t="s">
        <v>123</v>
      </c>
      <c r="I34" s="7" t="n">
        <v>2</v>
      </c>
      <c r="J34" s="15" t="n">
        <v>2145.4</v>
      </c>
      <c r="K34" s="16"/>
      <c r="L34" s="17" t="str">
        <f aca="false">IF(K34="","",K34-N(J34))</f>
        <v/>
      </c>
      <c r="M34" s="18" t="str">
        <f aca="false">IF(OR(K34="",N(J34)=0),"",L34/J34)</f>
        <v/>
      </c>
      <c r="N34" s="15" t="n">
        <v>2088.6</v>
      </c>
      <c r="O34" s="16"/>
      <c r="P34" s="17" t="str">
        <f aca="false">IF(O34="","",O34-N(N34))</f>
        <v/>
      </c>
      <c r="Q34" s="18" t="str">
        <f aca="false">IF(OR(O34="",N(N34)=0),"",P34/N34)</f>
        <v/>
      </c>
      <c r="R34" s="15"/>
      <c r="S34" s="16"/>
      <c r="T34" s="17" t="str">
        <f aca="false">IF(S34="","",S34-N(R34))</f>
        <v/>
      </c>
      <c r="U34" s="18" t="str">
        <f aca="false">IF(OR(S34="",N(R34)=0),"",T34/R34)</f>
        <v/>
      </c>
      <c r="V34" s="19" t="n">
        <v>0.45</v>
      </c>
      <c r="W34" s="19"/>
      <c r="X34" s="8" t="n">
        <v>939.87</v>
      </c>
      <c r="Y34" s="10" t="str">
        <f aca="false">IF(O34="","",ROUND(O34*N(V34),2))</f>
        <v/>
      </c>
      <c r="Z34" s="10" t="str">
        <f aca="false">IF(Y34="","",Y34-N(X34))</f>
        <v/>
      </c>
      <c r="AA34" s="8"/>
      <c r="AB34" s="10" t="str">
        <f aca="false">IF(S34="","",ROUND(S34*N(W34),2))</f>
        <v/>
      </c>
      <c r="AC34" s="10" t="str">
        <f aca="false">IF(AB34="","",AB34-N(AA34))</f>
        <v/>
      </c>
      <c r="AD34" s="8" t="n">
        <v>7200</v>
      </c>
      <c r="AE34" s="7" t="n">
        <v>3</v>
      </c>
      <c r="AF34" s="8" t="n">
        <v>2184.88</v>
      </c>
    </row>
    <row r="35" customFormat="false" ht="15" hidden="false" customHeight="false" outlineLevel="0" collapsed="false">
      <c r="A35" s="7" t="n">
        <v>5773</v>
      </c>
      <c r="B35" s="7" t="s">
        <v>61</v>
      </c>
      <c r="C35" s="7" t="s">
        <v>187</v>
      </c>
      <c r="D35" s="7" t="s">
        <v>88</v>
      </c>
      <c r="E35" s="7" t="s">
        <v>185</v>
      </c>
      <c r="F35" s="7" t="s">
        <v>87</v>
      </c>
      <c r="G35" s="7" t="s">
        <v>188</v>
      </c>
      <c r="H35" s="7" t="s">
        <v>123</v>
      </c>
      <c r="I35" s="7" t="n">
        <v>4</v>
      </c>
      <c r="J35" s="15" t="n">
        <v>2158.6</v>
      </c>
      <c r="K35" s="16"/>
      <c r="L35" s="17" t="str">
        <f aca="false">IF(K35="","",K35-N(J35))</f>
        <v/>
      </c>
      <c r="M35" s="18" t="str">
        <f aca="false">IF(OR(K35="",N(J35)=0),"",L35/J35)</f>
        <v/>
      </c>
      <c r="N35" s="15" t="n">
        <v>1540.5</v>
      </c>
      <c r="O35" s="16"/>
      <c r="P35" s="17" t="str">
        <f aca="false">IF(O35="","",O35-N(N35))</f>
        <v/>
      </c>
      <c r="Q35" s="18" t="str">
        <f aca="false">IF(OR(O35="",N(N35)=0),"",P35/N35)</f>
        <v/>
      </c>
      <c r="R35" s="15" t="n">
        <v>587.6</v>
      </c>
      <c r="S35" s="16"/>
      <c r="T35" s="17" t="str">
        <f aca="false">IF(S35="","",S35-N(R35))</f>
        <v/>
      </c>
      <c r="U35" s="18" t="str">
        <f aca="false">IF(OR(S35="",N(R35)=0),"",T35/R35)</f>
        <v/>
      </c>
      <c r="V35" s="19" t="n">
        <v>0.45</v>
      </c>
      <c r="W35" s="19" t="n">
        <v>0.45</v>
      </c>
      <c r="X35" s="8" t="n">
        <v>693.23</v>
      </c>
      <c r="Y35" s="10" t="str">
        <f aca="false">IF(O35="","",ROUND(O35*N(V35),2))</f>
        <v/>
      </c>
      <c r="Z35" s="10" t="str">
        <f aca="false">IF(Y35="","",Y35-N(X35))</f>
        <v/>
      </c>
      <c r="AA35" s="8" t="n">
        <v>264.42</v>
      </c>
      <c r="AB35" s="10" t="str">
        <f aca="false">IF(S35="","",ROUND(S35*N(W35),2))</f>
        <v/>
      </c>
      <c r="AC35" s="10" t="str">
        <f aca="false">IF(AB35="","",AB35-N(AA35))</f>
        <v/>
      </c>
      <c r="AD35" s="8" t="n">
        <v>3600</v>
      </c>
      <c r="AE35" s="7" t="n">
        <v>2</v>
      </c>
      <c r="AF35" s="8" t="n">
        <v>1620.97</v>
      </c>
    </row>
    <row r="36" customFormat="false" ht="15" hidden="false" customHeight="false" outlineLevel="0" collapsed="false">
      <c r="A36" s="7" t="n">
        <v>5774</v>
      </c>
      <c r="B36" s="7" t="s">
        <v>61</v>
      </c>
      <c r="C36" s="7" t="s">
        <v>189</v>
      </c>
      <c r="D36" s="7" t="s">
        <v>67</v>
      </c>
      <c r="E36" s="7" t="s">
        <v>158</v>
      </c>
      <c r="F36" s="7" t="s">
        <v>78</v>
      </c>
      <c r="G36" s="7" t="s">
        <v>190</v>
      </c>
      <c r="H36" s="7" t="s">
        <v>123</v>
      </c>
      <c r="I36" s="7" t="n">
        <v>2</v>
      </c>
      <c r="J36" s="15" t="n">
        <v>1132.8</v>
      </c>
      <c r="K36" s="16"/>
      <c r="L36" s="17" t="str">
        <f aca="false">IF(K36="","",K36-N(J36))</f>
        <v/>
      </c>
      <c r="M36" s="18" t="str">
        <f aca="false">IF(OR(K36="",N(J36)=0),"",L36/J36)</f>
        <v/>
      </c>
      <c r="N36" s="15" t="n">
        <v>1097.6</v>
      </c>
      <c r="O36" s="16"/>
      <c r="P36" s="17" t="str">
        <f aca="false">IF(O36="","",O36-N(N36))</f>
        <v/>
      </c>
      <c r="Q36" s="18" t="str">
        <f aca="false">IF(OR(O36="",N(N36)=0),"",P36/N36)</f>
        <v/>
      </c>
      <c r="R36" s="15"/>
      <c r="S36" s="16"/>
      <c r="T36" s="17" t="str">
        <f aca="false">IF(S36="","",S36-N(R36))</f>
        <v/>
      </c>
      <c r="U36" s="18" t="str">
        <f aca="false">IF(OR(S36="",N(R36)=0),"",T36/R36)</f>
        <v/>
      </c>
      <c r="V36" s="19" t="n">
        <v>0.43</v>
      </c>
      <c r="W36" s="19"/>
      <c r="X36" s="8" t="n">
        <v>471.97</v>
      </c>
      <c r="Y36" s="10" t="str">
        <f aca="false">IF(O36="","",ROUND(O36*N(V36),2))</f>
        <v/>
      </c>
      <c r="Z36" s="10" t="str">
        <f aca="false">IF(Y36="","",Y36-N(X36))</f>
        <v/>
      </c>
      <c r="AA36" s="8"/>
      <c r="AB36" s="10" t="str">
        <f aca="false">IF(S36="","",ROUND(S36*N(W36),2))</f>
        <v/>
      </c>
      <c r="AC36" s="10" t="str">
        <f aca="false">IF(AB36="","",AB36-N(AA36))</f>
        <v/>
      </c>
      <c r="AD36" s="8" t="n">
        <v>3800</v>
      </c>
      <c r="AE36" s="7" t="n">
        <v>2</v>
      </c>
      <c r="AF36" s="8" t="n">
        <v>1556.91</v>
      </c>
    </row>
    <row r="37" customFormat="false" ht="15" hidden="false" customHeight="false" outlineLevel="0" collapsed="false">
      <c r="A37" s="7" t="n">
        <v>5774</v>
      </c>
      <c r="B37" s="7" t="s">
        <v>61</v>
      </c>
      <c r="C37" s="7" t="s">
        <v>191</v>
      </c>
      <c r="D37" s="7" t="s">
        <v>67</v>
      </c>
      <c r="E37" s="7" t="s">
        <v>158</v>
      </c>
      <c r="F37" s="7" t="s">
        <v>78</v>
      </c>
      <c r="G37" s="7" t="s">
        <v>192</v>
      </c>
      <c r="H37" s="7" t="s">
        <v>123</v>
      </c>
      <c r="I37" s="7" t="n">
        <v>3</v>
      </c>
      <c r="J37" s="15" t="n">
        <v>1396.4</v>
      </c>
      <c r="K37" s="16"/>
      <c r="L37" s="17" t="str">
        <f aca="false">IF(K37="","",K37-N(J37))</f>
        <v/>
      </c>
      <c r="M37" s="18" t="str">
        <f aca="false">IF(OR(K37="",N(J37)=0),"",L37/J37)</f>
        <v/>
      </c>
      <c r="N37" s="15" t="n">
        <v>1214.8</v>
      </c>
      <c r="O37" s="16"/>
      <c r="P37" s="17" t="str">
        <f aca="false">IF(O37="","",O37-N(N37))</f>
        <v/>
      </c>
      <c r="Q37" s="18" t="str">
        <f aca="false">IF(OR(O37="",N(N37)=0),"",P37/N37)</f>
        <v/>
      </c>
      <c r="R37" s="15" t="n">
        <v>134</v>
      </c>
      <c r="S37" s="16"/>
      <c r="T37" s="17" t="str">
        <f aca="false">IF(S37="","",S37-N(R37))</f>
        <v/>
      </c>
      <c r="U37" s="18" t="str">
        <f aca="false">IF(OR(S37="",N(R37)=0),"",T37/R37)</f>
        <v/>
      </c>
      <c r="V37" s="19" t="n">
        <v>0.43</v>
      </c>
      <c r="W37" s="19" t="n">
        <v>0.43</v>
      </c>
      <c r="X37" s="8" t="n">
        <v>522.36</v>
      </c>
      <c r="Y37" s="10" t="str">
        <f aca="false">IF(O37="","",ROUND(O37*N(V37),2))</f>
        <v/>
      </c>
      <c r="Z37" s="10" t="str">
        <f aca="false">IF(Y37="","",Y37-N(X37))</f>
        <v/>
      </c>
      <c r="AA37" s="8" t="n">
        <v>57.62</v>
      </c>
      <c r="AB37" s="10" t="str">
        <f aca="false">IF(S37="","",ROUND(S37*N(W37),2))</f>
        <v/>
      </c>
      <c r="AC37" s="10" t="str">
        <f aca="false">IF(AB37="","",AB37-N(AA37))</f>
        <v/>
      </c>
      <c r="AD37" s="8" t="n">
        <v>4000</v>
      </c>
      <c r="AE37" s="7" t="n">
        <v>1</v>
      </c>
      <c r="AF37" s="8" t="n">
        <v>962.87</v>
      </c>
    </row>
    <row r="38" customFormat="false" ht="15" hidden="false" customHeight="false" outlineLevel="0" collapsed="false">
      <c r="A38" s="7" t="n">
        <v>5775</v>
      </c>
      <c r="B38" s="7" t="s">
        <v>61</v>
      </c>
      <c r="C38" s="7" t="s">
        <v>193</v>
      </c>
      <c r="D38" s="7" t="s">
        <v>71</v>
      </c>
      <c r="E38" s="7" t="s">
        <v>194</v>
      </c>
      <c r="F38" s="7" t="s">
        <v>89</v>
      </c>
      <c r="G38" s="7" t="s">
        <v>195</v>
      </c>
      <c r="H38" s="7" t="s">
        <v>123</v>
      </c>
      <c r="I38" s="7" t="n">
        <v>2</v>
      </c>
      <c r="J38" s="15" t="n">
        <v>1306</v>
      </c>
      <c r="K38" s="16"/>
      <c r="L38" s="17" t="str">
        <f aca="false">IF(K38="","",K38-N(J38))</f>
        <v/>
      </c>
      <c r="M38" s="18" t="str">
        <f aca="false">IF(OR(K38="",N(J38)=0),"",L38/J38)</f>
        <v/>
      </c>
      <c r="N38" s="15" t="n">
        <v>1292.4</v>
      </c>
      <c r="O38" s="16"/>
      <c r="P38" s="17" t="str">
        <f aca="false">IF(O38="","",O38-N(N38))</f>
        <v/>
      </c>
      <c r="Q38" s="18" t="str">
        <f aca="false">IF(OR(O38="",N(N38)=0),"",P38/N38)</f>
        <v/>
      </c>
      <c r="R38" s="15"/>
      <c r="S38" s="16"/>
      <c r="T38" s="17" t="str">
        <f aca="false">IF(S38="","",S38-N(R38))</f>
        <v/>
      </c>
      <c r="U38" s="18" t="str">
        <f aca="false">IF(OR(S38="",N(R38)=0),"",T38/R38)</f>
        <v/>
      </c>
      <c r="V38" s="19" t="n">
        <v>0.45</v>
      </c>
      <c r="W38" s="19"/>
      <c r="X38" s="8" t="n">
        <v>581.58</v>
      </c>
      <c r="Y38" s="10" t="str">
        <f aca="false">IF(O38="","",ROUND(O38*N(V38),2))</f>
        <v/>
      </c>
      <c r="Z38" s="10" t="str">
        <f aca="false">IF(Y38="","",Y38-N(X38))</f>
        <v/>
      </c>
      <c r="AA38" s="8"/>
      <c r="AB38" s="10" t="str">
        <f aca="false">IF(S38="","",ROUND(S38*N(W38),2))</f>
        <v/>
      </c>
      <c r="AC38" s="10" t="str">
        <f aca="false">IF(AB38="","",AB38-N(AA38))</f>
        <v/>
      </c>
      <c r="AD38" s="8" t="n">
        <v>3900</v>
      </c>
      <c r="AE38" s="7" t="n">
        <v>2</v>
      </c>
      <c r="AF38" s="8" t="n">
        <v>1100.82</v>
      </c>
    </row>
    <row r="39" customFormat="false" ht="15" hidden="false" customHeight="false" outlineLevel="0" collapsed="false">
      <c r="A39" s="7" t="n">
        <v>5775</v>
      </c>
      <c r="B39" s="7" t="s">
        <v>61</v>
      </c>
      <c r="C39" s="7" t="s">
        <v>196</v>
      </c>
      <c r="D39" s="7" t="s">
        <v>71</v>
      </c>
      <c r="E39" s="7" t="s">
        <v>197</v>
      </c>
      <c r="F39" s="7" t="s">
        <v>89</v>
      </c>
      <c r="G39" s="7" t="s">
        <v>198</v>
      </c>
      <c r="H39" s="7" t="s">
        <v>123</v>
      </c>
      <c r="I39" s="7" t="n">
        <v>3</v>
      </c>
      <c r="J39" s="15" t="n">
        <v>1249.1</v>
      </c>
      <c r="K39" s="16"/>
      <c r="L39" s="17" t="str">
        <f aca="false">IF(K39="","",K39-N(J39))</f>
        <v/>
      </c>
      <c r="M39" s="18" t="str">
        <f aca="false">IF(OR(K39="",N(J39)=0),"",L39/J39)</f>
        <v/>
      </c>
      <c r="N39" s="15" t="n">
        <v>1119.2</v>
      </c>
      <c r="O39" s="16"/>
      <c r="P39" s="17" t="str">
        <f aca="false">IF(O39="","",O39-N(N39))</f>
        <v/>
      </c>
      <c r="Q39" s="18" t="str">
        <f aca="false">IF(OR(O39="",N(N39)=0),"",P39/N39)</f>
        <v/>
      </c>
      <c r="R39" s="15" t="n">
        <v>109.3</v>
      </c>
      <c r="S39" s="16"/>
      <c r="T39" s="17" t="str">
        <f aca="false">IF(S39="","",S39-N(R39))</f>
        <v/>
      </c>
      <c r="U39" s="18" t="str">
        <f aca="false">IF(OR(S39="",N(R39)=0),"",T39/R39)</f>
        <v/>
      </c>
      <c r="V39" s="19" t="n">
        <v>0.45</v>
      </c>
      <c r="W39" s="19" t="n">
        <v>0.45</v>
      </c>
      <c r="X39" s="8" t="n">
        <v>503.64</v>
      </c>
      <c r="Y39" s="10" t="str">
        <f aca="false">IF(O39="","",ROUND(O39*N(V39),2))</f>
        <v/>
      </c>
      <c r="Z39" s="10" t="str">
        <f aca="false">IF(Y39="","",Y39-N(X39))</f>
        <v/>
      </c>
      <c r="AA39" s="8" t="n">
        <v>49.19</v>
      </c>
      <c r="AB39" s="10" t="str">
        <f aca="false">IF(S39="","",ROUND(S39*N(W39),2))</f>
        <v/>
      </c>
      <c r="AC39" s="10" t="str">
        <f aca="false">IF(AB39="","",AB39-N(AA39))</f>
        <v/>
      </c>
      <c r="AD39" s="8" t="n">
        <v>2700</v>
      </c>
      <c r="AE39" s="7" t="n">
        <v>3</v>
      </c>
      <c r="AF39" s="8" t="n">
        <v>1826.41</v>
      </c>
    </row>
    <row r="40" customFormat="false" ht="15" hidden="false" customHeight="false" outlineLevel="0" collapsed="false">
      <c r="A40" s="7" t="n">
        <v>5775</v>
      </c>
      <c r="B40" s="7" t="s">
        <v>61</v>
      </c>
      <c r="C40" s="7" t="s">
        <v>199</v>
      </c>
      <c r="D40" s="7" t="s">
        <v>71</v>
      </c>
      <c r="E40" s="7" t="s">
        <v>197</v>
      </c>
      <c r="F40" s="7" t="s">
        <v>89</v>
      </c>
      <c r="G40" s="7" t="s">
        <v>200</v>
      </c>
      <c r="H40" s="7" t="s">
        <v>123</v>
      </c>
      <c r="I40" s="7" t="n">
        <v>3</v>
      </c>
      <c r="J40" s="15" t="n">
        <v>405.4</v>
      </c>
      <c r="K40" s="16"/>
      <c r="L40" s="17" t="str">
        <f aca="false">IF(K40="","",K40-N(J40))</f>
        <v/>
      </c>
      <c r="M40" s="18" t="str">
        <f aca="false">IF(OR(K40="",N(J40)=0),"",L40/J40)</f>
        <v/>
      </c>
      <c r="N40" s="15" t="n">
        <v>351.6</v>
      </c>
      <c r="O40" s="16"/>
      <c r="P40" s="17" t="str">
        <f aca="false">IF(O40="","",O40-N(N40))</f>
        <v/>
      </c>
      <c r="Q40" s="18" t="str">
        <f aca="false">IF(OR(O40="",N(N40)=0),"",P40/N40)</f>
        <v/>
      </c>
      <c r="R40" s="15" t="n">
        <v>25.6</v>
      </c>
      <c r="S40" s="16"/>
      <c r="T40" s="17" t="str">
        <f aca="false">IF(S40="","",S40-N(R40))</f>
        <v/>
      </c>
      <c r="U40" s="18" t="str">
        <f aca="false">IF(OR(S40="",N(R40)=0),"",T40/R40)</f>
        <v/>
      </c>
      <c r="V40" s="19" t="n">
        <v>0.45</v>
      </c>
      <c r="W40" s="19" t="n">
        <v>0.45</v>
      </c>
      <c r="X40" s="8" t="n">
        <v>158.22</v>
      </c>
      <c r="Y40" s="10" t="str">
        <f aca="false">IF(O40="","",ROUND(O40*N(V40),2))</f>
        <v/>
      </c>
      <c r="Z40" s="10" t="str">
        <f aca="false">IF(Y40="","",Y40-N(X40))</f>
        <v/>
      </c>
      <c r="AA40" s="8" t="n">
        <v>11.52</v>
      </c>
      <c r="AB40" s="10" t="str">
        <f aca="false">IF(S40="","",ROUND(S40*N(W40),2))</f>
        <v/>
      </c>
      <c r="AC40" s="10" t="str">
        <f aca="false">IF(AB40="","",AB40-N(AA40))</f>
        <v/>
      </c>
      <c r="AD40" s="8" t="n">
        <v>700</v>
      </c>
      <c r="AE40" s="7" t="n">
        <v>1</v>
      </c>
      <c r="AF40" s="8" t="n">
        <v>280.17</v>
      </c>
    </row>
    <row r="41" customFormat="false" ht="15" hidden="false" customHeight="false" outlineLevel="0" collapsed="false">
      <c r="A41" s="7" t="n">
        <v>5776</v>
      </c>
      <c r="B41" s="7" t="s">
        <v>75</v>
      </c>
      <c r="C41" s="7" t="s">
        <v>201</v>
      </c>
      <c r="D41" s="7" t="s">
        <v>202</v>
      </c>
      <c r="E41" s="7" t="s">
        <v>203</v>
      </c>
      <c r="F41" s="7" t="s">
        <v>66</v>
      </c>
      <c r="G41" s="7" t="s">
        <v>165</v>
      </c>
      <c r="H41" s="7" t="s">
        <v>123</v>
      </c>
      <c r="I41" s="7" t="n">
        <v>2</v>
      </c>
      <c r="J41" s="15" t="n">
        <v>1306</v>
      </c>
      <c r="K41" s="16"/>
      <c r="L41" s="17" t="str">
        <f aca="false">IF(K41="","",K41-N(J41))</f>
        <v/>
      </c>
      <c r="M41" s="18" t="str">
        <f aca="false">IF(OR(K41="",N(J41)=0),"",L41/J41)</f>
        <v/>
      </c>
      <c r="N41" s="15" t="n">
        <v>1292.4</v>
      </c>
      <c r="O41" s="16"/>
      <c r="P41" s="17" t="str">
        <f aca="false">IF(O41="","",O41-N(N41))</f>
        <v/>
      </c>
      <c r="Q41" s="18" t="str">
        <f aca="false">IF(OR(O41="",N(N41)=0),"",P41/N41)</f>
        <v/>
      </c>
      <c r="R41" s="15"/>
      <c r="S41" s="16"/>
      <c r="T41" s="17" t="str">
        <f aca="false">IF(S41="","",S41-N(R41))</f>
        <v/>
      </c>
      <c r="U41" s="18" t="str">
        <f aca="false">IF(OR(S41="",N(R41)=0),"",T41/R41)</f>
        <v/>
      </c>
      <c r="V41" s="19" t="n">
        <v>0.45</v>
      </c>
      <c r="W41" s="19"/>
      <c r="X41" s="8" t="n">
        <v>581.58</v>
      </c>
      <c r="Y41" s="10" t="str">
        <f aca="false">IF(O41="","",ROUND(O41*N(V41),2))</f>
        <v/>
      </c>
      <c r="Z41" s="10" t="str">
        <f aca="false">IF(Y41="","",Y41-N(X41))</f>
        <v/>
      </c>
      <c r="AA41" s="8"/>
      <c r="AB41" s="10" t="str">
        <f aca="false">IF(S41="","",ROUND(S41*N(W41),2))</f>
        <v/>
      </c>
      <c r="AC41" s="10" t="str">
        <f aca="false">IF(AB41="","",AB41-N(AA41))</f>
        <v/>
      </c>
      <c r="AD41" s="8" t="n">
        <v>3900</v>
      </c>
      <c r="AE41" s="7" t="n">
        <v>3</v>
      </c>
      <c r="AF41" s="8" t="n">
        <v>1232.84</v>
      </c>
    </row>
    <row r="42" customFormat="false" ht="15" hidden="false" customHeight="false" outlineLevel="0" collapsed="false">
      <c r="A42" s="7" t="n">
        <v>5776</v>
      </c>
      <c r="B42" s="7" t="s">
        <v>75</v>
      </c>
      <c r="C42" s="7" t="s">
        <v>204</v>
      </c>
      <c r="D42" s="7" t="s">
        <v>93</v>
      </c>
      <c r="E42" s="7" t="s">
        <v>205</v>
      </c>
      <c r="F42" s="7" t="s">
        <v>66</v>
      </c>
      <c r="G42" s="7" t="s">
        <v>183</v>
      </c>
      <c r="H42" s="7" t="s">
        <v>123</v>
      </c>
      <c r="I42" s="7" t="n">
        <v>3</v>
      </c>
      <c r="J42" s="15" t="n">
        <v>476.1</v>
      </c>
      <c r="K42" s="16"/>
      <c r="L42" s="17" t="str">
        <f aca="false">IF(K42="","",K42-N(J42))</f>
        <v/>
      </c>
      <c r="M42" s="18" t="str">
        <f aca="false">IF(OR(K42="",N(J42)=0),"",L42/J42)</f>
        <v/>
      </c>
      <c r="N42" s="15" t="n">
        <v>426.8</v>
      </c>
      <c r="O42" s="16"/>
      <c r="P42" s="17" t="str">
        <f aca="false">IF(O42="","",O42-N(N42))</f>
        <v/>
      </c>
      <c r="Q42" s="18" t="str">
        <f aca="false">IF(OR(O42="",N(N42)=0),"",P42/N42)</f>
        <v/>
      </c>
      <c r="R42" s="15" t="n">
        <v>36.6</v>
      </c>
      <c r="S42" s="16"/>
      <c r="T42" s="17" t="str">
        <f aca="false">IF(S42="","",S42-N(R42))</f>
        <v/>
      </c>
      <c r="U42" s="18" t="str">
        <f aca="false">IF(OR(S42="",N(R42)=0),"",T42/R42)</f>
        <v/>
      </c>
      <c r="V42" s="19" t="n">
        <v>0.45</v>
      </c>
      <c r="W42" s="19" t="n">
        <v>0.45</v>
      </c>
      <c r="X42" s="8" t="n">
        <v>192.06</v>
      </c>
      <c r="Y42" s="10" t="str">
        <f aca="false">IF(O42="","",ROUND(O42*N(V42),2))</f>
        <v/>
      </c>
      <c r="Z42" s="10" t="str">
        <f aca="false">IF(Y42="","",Y42-N(X42))</f>
        <v/>
      </c>
      <c r="AA42" s="8" t="n">
        <v>16.47</v>
      </c>
      <c r="AB42" s="10" t="str">
        <f aca="false">IF(S42="","",ROUND(S42*N(W42),2))</f>
        <v/>
      </c>
      <c r="AC42" s="10" t="str">
        <f aca="false">IF(AB42="","",AB42-N(AA42))</f>
        <v/>
      </c>
      <c r="AD42" s="8" t="n">
        <v>525</v>
      </c>
      <c r="AE42" s="7" t="n">
        <v>4</v>
      </c>
      <c r="AF42" s="8" t="n">
        <v>2991.65</v>
      </c>
    </row>
    <row r="43" customFormat="false" ht="15" hidden="false" customHeight="false" outlineLevel="0" collapsed="false">
      <c r="A43" s="7" t="n">
        <v>5776</v>
      </c>
      <c r="B43" s="7" t="s">
        <v>75</v>
      </c>
      <c r="C43" s="7" t="s">
        <v>206</v>
      </c>
      <c r="D43" s="7" t="s">
        <v>93</v>
      </c>
      <c r="E43" s="7" t="s">
        <v>207</v>
      </c>
      <c r="F43" s="7" t="s">
        <v>66</v>
      </c>
      <c r="G43" s="7" t="s">
        <v>208</v>
      </c>
      <c r="H43" s="7" t="s">
        <v>123</v>
      </c>
      <c r="I43" s="7" t="n">
        <v>3</v>
      </c>
      <c r="J43" s="15" t="n">
        <v>929.7</v>
      </c>
      <c r="K43" s="16"/>
      <c r="L43" s="17" t="str">
        <f aca="false">IF(K43="","",K43-N(J43))</f>
        <v/>
      </c>
      <c r="M43" s="18" t="str">
        <f aca="false">IF(OR(K43="",N(J43)=0),"",L43/J43)</f>
        <v/>
      </c>
      <c r="N43" s="15" t="n">
        <v>897.6</v>
      </c>
      <c r="O43" s="16"/>
      <c r="P43" s="17" t="str">
        <f aca="false">IF(O43="","",O43-N(N43))</f>
        <v/>
      </c>
      <c r="Q43" s="18" t="str">
        <f aca="false">IF(OR(O43="",N(N43)=0),"",P43/N43)</f>
        <v/>
      </c>
      <c r="R43" s="15" t="n">
        <v>21.9</v>
      </c>
      <c r="S43" s="16"/>
      <c r="T43" s="17" t="str">
        <f aca="false">IF(S43="","",S43-N(R43))</f>
        <v/>
      </c>
      <c r="U43" s="18" t="str">
        <f aca="false">IF(OR(S43="",N(R43)=0),"",T43/R43)</f>
        <v/>
      </c>
      <c r="V43" s="19" t="n">
        <v>0.45</v>
      </c>
      <c r="W43" s="19" t="n">
        <v>0.45</v>
      </c>
      <c r="X43" s="8" t="n">
        <v>403.92</v>
      </c>
      <c r="Y43" s="10" t="str">
        <f aca="false">IF(O43="","",ROUND(O43*N(V43),2))</f>
        <v/>
      </c>
      <c r="Z43" s="10" t="str">
        <f aca="false">IF(Y43="","",Y43-N(X43))</f>
        <v/>
      </c>
      <c r="AA43" s="8" t="n">
        <v>9.86</v>
      </c>
      <c r="AB43" s="10" t="str">
        <f aca="false">IF(S43="","",ROUND(S43*N(W43),2))</f>
        <v/>
      </c>
      <c r="AC43" s="10" t="str">
        <f aca="false">IF(AB43="","",AB43-N(AA43))</f>
        <v/>
      </c>
      <c r="AD43" s="8" t="n">
        <v>2600</v>
      </c>
      <c r="AE43" s="7" t="n">
        <v>0</v>
      </c>
      <c r="AF43" s="8" t="n">
        <v>0</v>
      </c>
    </row>
    <row r="44" customFormat="false" ht="15" hidden="false" customHeight="false" outlineLevel="0" collapsed="false">
      <c r="A44" s="7" t="n">
        <v>5777</v>
      </c>
      <c r="B44" s="7" t="s">
        <v>61</v>
      </c>
      <c r="C44" s="7" t="s">
        <v>209</v>
      </c>
      <c r="D44" s="7" t="s">
        <v>84</v>
      </c>
      <c r="E44" s="7" t="s">
        <v>125</v>
      </c>
      <c r="F44" s="7" t="s">
        <v>72</v>
      </c>
      <c r="G44" s="7" t="s">
        <v>126</v>
      </c>
      <c r="H44" s="7" t="s">
        <v>123</v>
      </c>
      <c r="I44" s="7" t="n">
        <v>2</v>
      </c>
      <c r="J44" s="15" t="n">
        <v>1958.9</v>
      </c>
      <c r="K44" s="16"/>
      <c r="L44" s="17" t="str">
        <f aca="false">IF(K44="","",K44-N(J44))</f>
        <v/>
      </c>
      <c r="M44" s="18" t="str">
        <f aca="false">IF(OR(K44="",N(J44)=0),"",L44/J44)</f>
        <v/>
      </c>
      <c r="N44" s="15" t="n">
        <v>1890.2</v>
      </c>
      <c r="O44" s="16"/>
      <c r="P44" s="17" t="str">
        <f aca="false">IF(O44="","",O44-N(N44))</f>
        <v/>
      </c>
      <c r="Q44" s="18" t="str">
        <f aca="false">IF(OR(O44="",N(N44)=0),"",P44/N44)</f>
        <v/>
      </c>
      <c r="R44" s="15"/>
      <c r="S44" s="16"/>
      <c r="T44" s="17" t="str">
        <f aca="false">IF(S44="","",S44-N(R44))</f>
        <v/>
      </c>
      <c r="U44" s="18" t="str">
        <f aca="false">IF(OR(S44="",N(R44)=0),"",T44/R44)</f>
        <v/>
      </c>
      <c r="V44" s="19" t="n">
        <v>0.5</v>
      </c>
      <c r="W44" s="19"/>
      <c r="X44" s="8" t="n">
        <v>945.1</v>
      </c>
      <c r="Y44" s="10" t="str">
        <f aca="false">IF(O44="","",ROUND(O44*N(V44),2))</f>
        <v/>
      </c>
      <c r="Z44" s="10" t="str">
        <f aca="false">IF(Y44="","",Y44-N(X44))</f>
        <v/>
      </c>
      <c r="AA44" s="8"/>
      <c r="AB44" s="10" t="str">
        <f aca="false">IF(S44="","",ROUND(S44*N(W44),2))</f>
        <v/>
      </c>
      <c r="AC44" s="10" t="str">
        <f aca="false">IF(AB44="","",AB44-N(AA44))</f>
        <v/>
      </c>
      <c r="AD44" s="8" t="n">
        <v>4900</v>
      </c>
      <c r="AE44" s="7" t="n">
        <v>2</v>
      </c>
      <c r="AF44" s="8" t="n">
        <v>1839.06</v>
      </c>
    </row>
    <row r="45" customFormat="false" ht="15" hidden="false" customHeight="false" outlineLevel="0" collapsed="false">
      <c r="A45" s="7" t="n">
        <v>5777</v>
      </c>
      <c r="B45" s="7" t="s">
        <v>61</v>
      </c>
      <c r="C45" s="7" t="s">
        <v>210</v>
      </c>
      <c r="D45" s="7" t="s">
        <v>84</v>
      </c>
      <c r="E45" s="7" t="s">
        <v>125</v>
      </c>
      <c r="F45" s="7" t="s">
        <v>72</v>
      </c>
      <c r="G45" s="7" t="s">
        <v>211</v>
      </c>
      <c r="H45" s="7" t="s">
        <v>123</v>
      </c>
      <c r="I45" s="7" t="n">
        <v>4</v>
      </c>
      <c r="J45" s="15" t="n">
        <v>1971.8</v>
      </c>
      <c r="K45" s="16"/>
      <c r="L45" s="17" t="str">
        <f aca="false">IF(K45="","",K45-N(J45))</f>
        <v/>
      </c>
      <c r="M45" s="18" t="str">
        <f aca="false">IF(OR(K45="",N(J45)=0),"",L45/J45)</f>
        <v/>
      </c>
      <c r="N45" s="15" t="n">
        <v>1557.7</v>
      </c>
      <c r="O45" s="16"/>
      <c r="P45" s="17" t="str">
        <f aca="false">IF(O45="","",O45-N(N45))</f>
        <v/>
      </c>
      <c r="Q45" s="18" t="str">
        <f aca="false">IF(OR(O45="",N(N45)=0),"",P45/N45)</f>
        <v/>
      </c>
      <c r="R45" s="15" t="n">
        <v>368.1</v>
      </c>
      <c r="S45" s="16"/>
      <c r="T45" s="17" t="str">
        <f aca="false">IF(S45="","",S45-N(R45))</f>
        <v/>
      </c>
      <c r="U45" s="18" t="str">
        <f aca="false">IF(OR(S45="",N(R45)=0),"",T45/R45)</f>
        <v/>
      </c>
      <c r="V45" s="19" t="n">
        <v>0.5</v>
      </c>
      <c r="W45" s="19" t="n">
        <v>0.5</v>
      </c>
      <c r="X45" s="8" t="n">
        <v>778.85</v>
      </c>
      <c r="Y45" s="10" t="str">
        <f aca="false">IF(O45="","",ROUND(O45*N(V45),2))</f>
        <v/>
      </c>
      <c r="Z45" s="10" t="str">
        <f aca="false">IF(Y45="","",Y45-N(X45))</f>
        <v/>
      </c>
      <c r="AA45" s="8" t="n">
        <v>184.05</v>
      </c>
      <c r="AB45" s="10" t="str">
        <f aca="false">IF(S45="","",ROUND(S45*N(W45),2))</f>
        <v/>
      </c>
      <c r="AC45" s="10" t="str">
        <f aca="false">IF(AB45="","",AB45-N(AA45))</f>
        <v/>
      </c>
      <c r="AD45" s="8" t="n">
        <v>3500</v>
      </c>
      <c r="AE45" s="7" t="n">
        <v>2</v>
      </c>
      <c r="AF45" s="8" t="n">
        <v>1530.59</v>
      </c>
    </row>
    <row r="46" customFormat="false" ht="15" hidden="false" customHeight="false" outlineLevel="0" collapsed="false">
      <c r="A46" s="7" t="n">
        <v>5778</v>
      </c>
      <c r="B46" s="7" t="s">
        <v>61</v>
      </c>
      <c r="C46" s="7" t="s">
        <v>212</v>
      </c>
      <c r="D46" s="7" t="s">
        <v>81</v>
      </c>
      <c r="E46" s="7" t="s">
        <v>142</v>
      </c>
      <c r="F46" s="7" t="s">
        <v>80</v>
      </c>
      <c r="G46" s="7" t="s">
        <v>213</v>
      </c>
      <c r="H46" s="7" t="s">
        <v>123</v>
      </c>
      <c r="I46" s="7" t="n">
        <v>3</v>
      </c>
      <c r="J46" s="15" t="n">
        <v>1927</v>
      </c>
      <c r="K46" s="16"/>
      <c r="L46" s="17" t="str">
        <f aca="false">IF(K46="","",K46-N(J46))</f>
        <v/>
      </c>
      <c r="M46" s="18" t="str">
        <f aca="false">IF(OR(K46="",N(J46)=0),"",L46/J46)</f>
        <v/>
      </c>
      <c r="N46" s="15" t="n">
        <v>1185.4</v>
      </c>
      <c r="O46" s="16"/>
      <c r="P46" s="17" t="str">
        <f aca="false">IF(O46="","",O46-N(N46))</f>
        <v/>
      </c>
      <c r="Q46" s="18" t="str">
        <f aca="false">IF(OR(O46="",N(N46)=0),"",P46/N46)</f>
        <v/>
      </c>
      <c r="R46" s="15" t="n">
        <v>711.5</v>
      </c>
      <c r="S46" s="16"/>
      <c r="T46" s="17" t="str">
        <f aca="false">IF(S46="","",S46-N(R46))</f>
        <v/>
      </c>
      <c r="U46" s="18" t="str">
        <f aca="false">IF(OR(S46="",N(R46)=0),"",T46/R46)</f>
        <v/>
      </c>
      <c r="V46" s="19" t="n">
        <v>0.45</v>
      </c>
      <c r="W46" s="19" t="n">
        <v>0.45</v>
      </c>
      <c r="X46" s="8" t="n">
        <v>533.43</v>
      </c>
      <c r="Y46" s="10" t="str">
        <f aca="false">IF(O46="","",ROUND(O46*N(V46),2))</f>
        <v/>
      </c>
      <c r="Z46" s="10" t="str">
        <f aca="false">IF(Y46="","",Y46-N(X46))</f>
        <v/>
      </c>
      <c r="AA46" s="8" t="n">
        <v>320.18</v>
      </c>
      <c r="AB46" s="10" t="str">
        <f aca="false">IF(S46="","",ROUND(S46*N(W46),2))</f>
        <v/>
      </c>
      <c r="AC46" s="10" t="str">
        <f aca="false">IF(AB46="","",AB46-N(AA46))</f>
        <v/>
      </c>
      <c r="AD46" s="8" t="n">
        <v>4200</v>
      </c>
      <c r="AE46" s="7" t="n">
        <v>5</v>
      </c>
      <c r="AF46" s="8" t="n">
        <v>3557.34</v>
      </c>
    </row>
    <row r="47" customFormat="false" ht="15" hidden="false" customHeight="false" outlineLevel="0" collapsed="false">
      <c r="A47" s="7" t="n">
        <v>5778</v>
      </c>
      <c r="B47" s="7" t="s">
        <v>61</v>
      </c>
      <c r="C47" s="7" t="s">
        <v>214</v>
      </c>
      <c r="D47" s="7" t="s">
        <v>81</v>
      </c>
      <c r="E47" s="7" t="s">
        <v>215</v>
      </c>
      <c r="F47" s="7" t="s">
        <v>80</v>
      </c>
      <c r="G47" s="7"/>
      <c r="H47" s="7" t="s">
        <v>123</v>
      </c>
      <c r="I47" s="7" t="n">
        <v>2</v>
      </c>
      <c r="J47" s="15"/>
      <c r="K47" s="16"/>
      <c r="L47" s="17" t="str">
        <f aca="false">IF(K47="","",K47-N(J47))</f>
        <v/>
      </c>
      <c r="M47" s="18" t="str">
        <f aca="false">IF(OR(K47="",N(J47)=0),"",L47/J47)</f>
        <v/>
      </c>
      <c r="N47" s="15" t="n">
        <v>1303.1</v>
      </c>
      <c r="O47" s="16"/>
      <c r="P47" s="17" t="str">
        <f aca="false">IF(O47="","",O47-N(N47))</f>
        <v/>
      </c>
      <c r="Q47" s="18" t="str">
        <f aca="false">IF(OR(O47="",N(N47)=0),"",P47/N47)</f>
        <v/>
      </c>
      <c r="R47" s="15"/>
      <c r="S47" s="16"/>
      <c r="T47" s="17" t="str">
        <f aca="false">IF(S47="","",S47-N(R47))</f>
        <v/>
      </c>
      <c r="U47" s="18" t="str">
        <f aca="false">IF(OR(S47="",N(R47)=0),"",T47/R47)</f>
        <v/>
      </c>
      <c r="V47" s="19" t="n">
        <v>0.45</v>
      </c>
      <c r="W47" s="19"/>
      <c r="X47" s="8" t="n">
        <v>586.4</v>
      </c>
      <c r="Y47" s="10" t="str">
        <f aca="false">IF(O47="","",ROUND(O47*N(V47),2))</f>
        <v/>
      </c>
      <c r="Z47" s="10" t="str">
        <f aca="false">IF(Y47="","",Y47-N(X47))</f>
        <v/>
      </c>
      <c r="AA47" s="8"/>
      <c r="AB47" s="10" t="str">
        <f aca="false">IF(S47="","",ROUND(S47*N(W47),2))</f>
        <v/>
      </c>
      <c r="AC47" s="10" t="str">
        <f aca="false">IF(AB47="","",AB47-N(AA47))</f>
        <v/>
      </c>
      <c r="AD47" s="8"/>
      <c r="AE47" s="7" t="n">
        <v>0</v>
      </c>
      <c r="AF47" s="8" t="n">
        <v>0</v>
      </c>
    </row>
    <row r="48" customFormat="false" ht="15" hidden="false" customHeight="false" outlineLevel="0" collapsed="false">
      <c r="A48" s="7" t="n">
        <v>5779</v>
      </c>
      <c r="B48" s="7" t="s">
        <v>61</v>
      </c>
      <c r="C48" s="7" t="s">
        <v>216</v>
      </c>
      <c r="D48" s="7" t="s">
        <v>92</v>
      </c>
      <c r="E48" s="7" t="s">
        <v>217</v>
      </c>
      <c r="F48" s="7" t="s">
        <v>91</v>
      </c>
      <c r="G48" s="7" t="s">
        <v>218</v>
      </c>
      <c r="H48" s="7" t="s">
        <v>123</v>
      </c>
      <c r="I48" s="7" t="n">
        <v>4</v>
      </c>
      <c r="J48" s="15" t="n">
        <v>1643.2</v>
      </c>
      <c r="K48" s="16"/>
      <c r="L48" s="17" t="str">
        <f aca="false">IF(K48="","",K48-N(J48))</f>
        <v/>
      </c>
      <c r="M48" s="18" t="str">
        <f aca="false">IF(OR(K48="",N(J48)=0),"",L48/J48)</f>
        <v/>
      </c>
      <c r="N48" s="15" t="n">
        <v>1122.1</v>
      </c>
      <c r="O48" s="16"/>
      <c r="P48" s="17" t="str">
        <f aca="false">IF(O48="","",O48-N(N48))</f>
        <v/>
      </c>
      <c r="Q48" s="18" t="str">
        <f aca="false">IF(OR(O48="",N(N48)=0),"",P48/N48)</f>
        <v/>
      </c>
      <c r="R48" s="15" t="n">
        <v>487.9</v>
      </c>
      <c r="S48" s="16"/>
      <c r="T48" s="17" t="str">
        <f aca="false">IF(S48="","",S48-N(R48))</f>
        <v/>
      </c>
      <c r="U48" s="18" t="str">
        <f aca="false">IF(OR(S48="",N(R48)=0),"",T48/R48)</f>
        <v/>
      </c>
      <c r="V48" s="19" t="n">
        <v>0.45</v>
      </c>
      <c r="W48" s="19" t="n">
        <v>0.45</v>
      </c>
      <c r="X48" s="8" t="n">
        <v>504.95</v>
      </c>
      <c r="Y48" s="10" t="str">
        <f aca="false">IF(O48="","",ROUND(O48*N(V48),2))</f>
        <v/>
      </c>
      <c r="Z48" s="10" t="str">
        <f aca="false">IF(Y48="","",Y48-N(X48))</f>
        <v/>
      </c>
      <c r="AA48" s="8" t="n">
        <v>219.56</v>
      </c>
      <c r="AB48" s="10" t="str">
        <f aca="false">IF(S48="","",ROUND(S48*N(W48),2))</f>
        <v/>
      </c>
      <c r="AC48" s="10" t="str">
        <f aca="false">IF(AB48="","",AB48-N(AA48))</f>
        <v/>
      </c>
      <c r="AD48" s="8" t="n">
        <v>3500</v>
      </c>
      <c r="AE48" s="7" t="n">
        <v>2</v>
      </c>
      <c r="AF48" s="8" t="n">
        <v>1418.42</v>
      </c>
    </row>
    <row r="49" customFormat="false" ht="15" hidden="false" customHeight="false" outlineLevel="0" collapsed="false">
      <c r="A49" s="7" t="n">
        <v>5779</v>
      </c>
      <c r="B49" s="7" t="s">
        <v>61</v>
      </c>
      <c r="C49" s="7" t="s">
        <v>219</v>
      </c>
      <c r="D49" s="7" t="s">
        <v>92</v>
      </c>
      <c r="E49" s="7" t="s">
        <v>217</v>
      </c>
      <c r="F49" s="7" t="s">
        <v>91</v>
      </c>
      <c r="G49" s="7" t="s">
        <v>134</v>
      </c>
      <c r="H49" s="7" t="s">
        <v>123</v>
      </c>
      <c r="I49" s="7" t="n">
        <v>2</v>
      </c>
      <c r="J49" s="15" t="n">
        <v>1602.9</v>
      </c>
      <c r="K49" s="16"/>
      <c r="L49" s="17" t="str">
        <f aca="false">IF(K49="","",K49-N(J49))</f>
        <v/>
      </c>
      <c r="M49" s="18" t="str">
        <f aca="false">IF(OR(K49="",N(J49)=0),"",L49/J49)</f>
        <v/>
      </c>
      <c r="N49" s="15" t="n">
        <v>1547</v>
      </c>
      <c r="O49" s="16"/>
      <c r="P49" s="17" t="str">
        <f aca="false">IF(O49="","",O49-N(N49))</f>
        <v/>
      </c>
      <c r="Q49" s="18" t="str">
        <f aca="false">IF(OR(O49="",N(N49)=0),"",P49/N49)</f>
        <v/>
      </c>
      <c r="R49" s="15"/>
      <c r="S49" s="16"/>
      <c r="T49" s="17" t="str">
        <f aca="false">IF(S49="","",S49-N(R49))</f>
        <v/>
      </c>
      <c r="U49" s="18" t="str">
        <f aca="false">IF(OR(S49="",N(R49)=0),"",T49/R49)</f>
        <v/>
      </c>
      <c r="V49" s="19" t="n">
        <v>0.45</v>
      </c>
      <c r="W49" s="19"/>
      <c r="X49" s="8" t="n">
        <v>696.15</v>
      </c>
      <c r="Y49" s="10" t="str">
        <f aca="false">IF(O49="","",ROUND(O49*N(V49),2))</f>
        <v/>
      </c>
      <c r="Z49" s="10" t="str">
        <f aca="false">IF(Y49="","",Y49-N(X49))</f>
        <v/>
      </c>
      <c r="AA49" s="8"/>
      <c r="AB49" s="10" t="str">
        <f aca="false">IF(S49="","",ROUND(S49*N(W49),2))</f>
        <v/>
      </c>
      <c r="AC49" s="10" t="str">
        <f aca="false">IF(AB49="","",AB49-N(AA49))</f>
        <v/>
      </c>
      <c r="AD49" s="8" t="n">
        <v>3000</v>
      </c>
      <c r="AE49" s="7" t="n">
        <v>4</v>
      </c>
      <c r="AF49" s="8" t="n">
        <v>1881.15</v>
      </c>
    </row>
    <row r="50" customFormat="false" ht="15" hidden="false" customHeight="false" outlineLevel="0" collapsed="false">
      <c r="A50" s="7" t="n">
        <v>5780</v>
      </c>
      <c r="B50" s="7" t="s">
        <v>75</v>
      </c>
      <c r="C50" s="7" t="s">
        <v>220</v>
      </c>
      <c r="D50" s="7" t="s">
        <v>77</v>
      </c>
      <c r="E50" s="7" t="s">
        <v>221</v>
      </c>
      <c r="F50" s="7" t="s">
        <v>76</v>
      </c>
      <c r="G50" s="7" t="s">
        <v>222</v>
      </c>
      <c r="H50" s="7" t="s">
        <v>155</v>
      </c>
      <c r="I50" s="7" t="n">
        <v>2</v>
      </c>
      <c r="J50" s="15" t="n">
        <v>354.4</v>
      </c>
      <c r="K50" s="16"/>
      <c r="L50" s="17" t="str">
        <f aca="false">IF(K50="","",K50-N(J50))</f>
        <v/>
      </c>
      <c r="M50" s="18" t="str">
        <f aca="false">IF(OR(K50="",N(J50)=0),"",L50/J50)</f>
        <v/>
      </c>
      <c r="N50" s="15"/>
      <c r="O50" s="16"/>
      <c r="P50" s="17" t="str">
        <f aca="false">IF(O50="","",O50-N(N50))</f>
        <v/>
      </c>
      <c r="Q50" s="18" t="str">
        <f aca="false">IF(OR(O50="",N(N50)=0),"",P50/N50)</f>
        <v/>
      </c>
      <c r="R50" s="15"/>
      <c r="S50" s="16"/>
      <c r="T50" s="17" t="str">
        <f aca="false">IF(S50="","",S50-N(R50))</f>
        <v/>
      </c>
      <c r="U50" s="18" t="str">
        <f aca="false">IF(OR(S50="",N(R50)=0),"",T50/R50)</f>
        <v/>
      </c>
      <c r="V50" s="19"/>
      <c r="W50" s="19"/>
      <c r="X50" s="8"/>
      <c r="Y50" s="10" t="str">
        <f aca="false">IF(O50="","",ROUND(O50*N(V50),2))</f>
        <v/>
      </c>
      <c r="Z50" s="10" t="str">
        <f aca="false">IF(Y50="","",Y50-N(X50))</f>
        <v/>
      </c>
      <c r="AA50" s="8"/>
      <c r="AB50" s="10" t="str">
        <f aca="false">IF(S50="","",ROUND(S50*N(W50),2))</f>
        <v/>
      </c>
      <c r="AC50" s="10" t="str">
        <f aca="false">IF(AB50="","",AB50-N(AA50))</f>
        <v/>
      </c>
      <c r="AD50" s="8" t="n">
        <v>1500</v>
      </c>
      <c r="AE50" s="7" t="n">
        <v>1</v>
      </c>
      <c r="AF50" s="8" t="n">
        <v>843.76</v>
      </c>
    </row>
    <row r="51" customFormat="false" ht="15" hidden="false" customHeight="false" outlineLevel="0" collapsed="false">
      <c r="A51" s="7" t="n">
        <v>5780</v>
      </c>
      <c r="B51" s="7" t="s">
        <v>75</v>
      </c>
      <c r="C51" s="7" t="s">
        <v>223</v>
      </c>
      <c r="D51" s="7" t="s">
        <v>77</v>
      </c>
      <c r="E51" s="7" t="s">
        <v>224</v>
      </c>
      <c r="F51" s="7" t="s">
        <v>76</v>
      </c>
      <c r="G51" s="7" t="s">
        <v>225</v>
      </c>
      <c r="H51" s="7" t="s">
        <v>155</v>
      </c>
      <c r="I51" s="7" t="n">
        <v>3</v>
      </c>
      <c r="J51" s="15" t="n">
        <v>590.3</v>
      </c>
      <c r="K51" s="16"/>
      <c r="L51" s="17" t="str">
        <f aca="false">IF(K51="","",K51-N(J51))</f>
        <v/>
      </c>
      <c r="M51" s="18" t="str">
        <f aca="false">IF(OR(K51="",N(J51)=0),"",L51/J51)</f>
        <v/>
      </c>
      <c r="N51" s="15"/>
      <c r="O51" s="16"/>
      <c r="P51" s="17" t="str">
        <f aca="false">IF(O51="","",O51-N(N51))</f>
        <v/>
      </c>
      <c r="Q51" s="18" t="str">
        <f aca="false">IF(OR(O51="",N(N51)=0),"",P51/N51)</f>
        <v/>
      </c>
      <c r="R51" s="15"/>
      <c r="S51" s="16"/>
      <c r="T51" s="17" t="str">
        <f aca="false">IF(S51="","",S51-N(R51))</f>
        <v/>
      </c>
      <c r="U51" s="18" t="str">
        <f aca="false">IF(OR(S51="",N(R51)=0),"",T51/R51)</f>
        <v/>
      </c>
      <c r="V51" s="19"/>
      <c r="W51" s="19"/>
      <c r="X51" s="8"/>
      <c r="Y51" s="10" t="str">
        <f aca="false">IF(O51="","",ROUND(O51*N(V51),2))</f>
        <v/>
      </c>
      <c r="Z51" s="10" t="str">
        <f aca="false">IF(Y51="","",Y51-N(X51))</f>
        <v/>
      </c>
      <c r="AA51" s="8"/>
      <c r="AB51" s="10" t="str">
        <f aca="false">IF(S51="","",ROUND(S51*N(W51),2))</f>
        <v/>
      </c>
      <c r="AC51" s="10" t="str">
        <f aca="false">IF(AB51="","",AB51-N(AA51))</f>
        <v/>
      </c>
      <c r="AD51" s="8" t="n">
        <v>1000</v>
      </c>
      <c r="AE51" s="7" t="n">
        <v>0</v>
      </c>
      <c r="AF51" s="8" t="n">
        <v>0</v>
      </c>
    </row>
    <row r="52" customFormat="false" ht="15" hidden="false" customHeight="false" outlineLevel="0" collapsed="false">
      <c r="A52" s="7" t="n">
        <v>5781</v>
      </c>
      <c r="B52" s="7" t="s">
        <v>61</v>
      </c>
      <c r="C52" s="7" t="s">
        <v>226</v>
      </c>
      <c r="D52" s="7" t="s">
        <v>93</v>
      </c>
      <c r="E52" s="7" t="s">
        <v>128</v>
      </c>
      <c r="F52" s="7" t="s">
        <v>66</v>
      </c>
      <c r="G52" s="7" t="s">
        <v>227</v>
      </c>
      <c r="H52" s="7" t="s">
        <v>123</v>
      </c>
      <c r="I52" s="7" t="n">
        <v>2</v>
      </c>
      <c r="J52" s="15" t="n">
        <v>1423.6</v>
      </c>
      <c r="K52" s="16"/>
      <c r="L52" s="17" t="str">
        <f aca="false">IF(K52="","",K52-N(J52))</f>
        <v/>
      </c>
      <c r="M52" s="18" t="str">
        <f aca="false">IF(OR(K52="",N(J52)=0),"",L52/J52)</f>
        <v/>
      </c>
      <c r="N52" s="15" t="n">
        <v>1395.3</v>
      </c>
      <c r="O52" s="16"/>
      <c r="P52" s="17" t="str">
        <f aca="false">IF(O52="","",O52-N(N52))</f>
        <v/>
      </c>
      <c r="Q52" s="18" t="str">
        <f aca="false">IF(OR(O52="",N(N52)=0),"",P52/N52)</f>
        <v/>
      </c>
      <c r="R52" s="15"/>
      <c r="S52" s="16"/>
      <c r="T52" s="17" t="str">
        <f aca="false">IF(S52="","",S52-N(R52))</f>
        <v/>
      </c>
      <c r="U52" s="18" t="str">
        <f aca="false">IF(OR(S52="",N(R52)=0),"",T52/R52)</f>
        <v/>
      </c>
      <c r="V52" s="19" t="n">
        <v>0.45</v>
      </c>
      <c r="W52" s="19"/>
      <c r="X52" s="8" t="n">
        <v>627.89</v>
      </c>
      <c r="Y52" s="10" t="str">
        <f aca="false">IF(O52="","",ROUND(O52*N(V52),2))</f>
        <v/>
      </c>
      <c r="Z52" s="10" t="str">
        <f aca="false">IF(Y52="","",Y52-N(X52))</f>
        <v/>
      </c>
      <c r="AA52" s="8"/>
      <c r="AB52" s="10" t="str">
        <f aca="false">IF(S52="","",ROUND(S52*N(W52),2))</f>
        <v/>
      </c>
      <c r="AC52" s="10" t="str">
        <f aca="false">IF(AB52="","",AB52-N(AA52))</f>
        <v/>
      </c>
      <c r="AD52" s="8" t="n">
        <v>3600</v>
      </c>
      <c r="AE52" s="7" t="n">
        <v>3</v>
      </c>
      <c r="AF52" s="8" t="n">
        <v>1366.68</v>
      </c>
    </row>
    <row r="53" customFormat="false" ht="15" hidden="false" customHeight="false" outlineLevel="0" collapsed="false">
      <c r="A53" s="7" t="n">
        <v>5781</v>
      </c>
      <c r="B53" s="7" t="s">
        <v>61</v>
      </c>
      <c r="C53" s="7" t="s">
        <v>228</v>
      </c>
      <c r="D53" s="7" t="s">
        <v>93</v>
      </c>
      <c r="E53" s="7" t="s">
        <v>215</v>
      </c>
      <c r="F53" s="7" t="s">
        <v>66</v>
      </c>
      <c r="G53" s="7" t="s">
        <v>225</v>
      </c>
      <c r="H53" s="7" t="s">
        <v>123</v>
      </c>
      <c r="I53" s="7" t="n">
        <v>3</v>
      </c>
      <c r="J53" s="15" t="n">
        <v>1490.8</v>
      </c>
      <c r="K53" s="16"/>
      <c r="L53" s="17" t="str">
        <f aca="false">IF(K53="","",K53-N(J53))</f>
        <v/>
      </c>
      <c r="M53" s="18" t="str">
        <f aca="false">IF(OR(K53="",N(J53)=0),"",L53/J53)</f>
        <v/>
      </c>
      <c r="N53" s="15" t="n">
        <v>1391.7</v>
      </c>
      <c r="O53" s="16"/>
      <c r="P53" s="17" t="str">
        <f aca="false">IF(O53="","",O53-N(N53))</f>
        <v/>
      </c>
      <c r="Q53" s="18" t="str">
        <f aca="false">IF(OR(O53="",N(N53)=0),"",P53/N53)</f>
        <v/>
      </c>
      <c r="R53" s="15" t="n">
        <v>58.1</v>
      </c>
      <c r="S53" s="16"/>
      <c r="T53" s="17" t="str">
        <f aca="false">IF(S53="","",S53-N(R53))</f>
        <v/>
      </c>
      <c r="U53" s="18" t="str">
        <f aca="false">IF(OR(S53="",N(R53)=0),"",T53/R53)</f>
        <v/>
      </c>
      <c r="V53" s="19" t="n">
        <v>0.45</v>
      </c>
      <c r="W53" s="19" t="n">
        <v>0.45</v>
      </c>
      <c r="X53" s="8" t="n">
        <v>626.27</v>
      </c>
      <c r="Y53" s="10" t="str">
        <f aca="false">IF(O53="","",ROUND(O53*N(V53),2))</f>
        <v/>
      </c>
      <c r="Z53" s="10" t="str">
        <f aca="false">IF(Y53="","",Y53-N(X53))</f>
        <v/>
      </c>
      <c r="AA53" s="8" t="n">
        <v>26.15</v>
      </c>
      <c r="AB53" s="10" t="str">
        <f aca="false">IF(S53="","",ROUND(S53*N(W53),2))</f>
        <v/>
      </c>
      <c r="AC53" s="10" t="str">
        <f aca="false">IF(AB53="","",AB53-N(AA53))</f>
        <v/>
      </c>
      <c r="AD53" s="8" t="n">
        <v>3100</v>
      </c>
      <c r="AE53" s="7" t="n">
        <v>2</v>
      </c>
      <c r="AF53" s="8" t="n">
        <v>1019.29</v>
      </c>
    </row>
    <row r="54" customFormat="false" ht="15" hidden="false" customHeight="false" outlineLevel="0" collapsed="false">
      <c r="A54" s="7" t="n">
        <v>5782</v>
      </c>
      <c r="B54" s="7" t="s">
        <v>61</v>
      </c>
      <c r="C54" s="7" t="s">
        <v>229</v>
      </c>
      <c r="D54" s="7" t="s">
        <v>81</v>
      </c>
      <c r="E54" s="7" t="s">
        <v>142</v>
      </c>
      <c r="F54" s="7" t="s">
        <v>80</v>
      </c>
      <c r="G54" s="7" t="s">
        <v>227</v>
      </c>
      <c r="H54" s="7" t="s">
        <v>123</v>
      </c>
      <c r="I54" s="7" t="n">
        <v>2</v>
      </c>
      <c r="J54" s="15" t="n">
        <v>1649.1</v>
      </c>
      <c r="K54" s="16"/>
      <c r="L54" s="17" t="str">
        <f aca="false">IF(K54="","",K54-N(J54))</f>
        <v/>
      </c>
      <c r="M54" s="18" t="str">
        <f aca="false">IF(OR(K54="",N(J54)=0),"",L54/J54)</f>
        <v/>
      </c>
      <c r="N54" s="15" t="n">
        <v>1618.9</v>
      </c>
      <c r="O54" s="16"/>
      <c r="P54" s="17" t="str">
        <f aca="false">IF(O54="","",O54-N(N54))</f>
        <v/>
      </c>
      <c r="Q54" s="18" t="str">
        <f aca="false">IF(OR(O54="",N(N54)=0),"",P54/N54)</f>
        <v/>
      </c>
      <c r="R54" s="15"/>
      <c r="S54" s="16"/>
      <c r="T54" s="17" t="str">
        <f aca="false">IF(S54="","",S54-N(R54))</f>
        <v/>
      </c>
      <c r="U54" s="18" t="str">
        <f aca="false">IF(OR(S54="",N(R54)=0),"",T54/R54)</f>
        <v/>
      </c>
      <c r="V54" s="19" t="n">
        <v>0.45</v>
      </c>
      <c r="W54" s="19"/>
      <c r="X54" s="8" t="n">
        <v>728.51</v>
      </c>
      <c r="Y54" s="10" t="str">
        <f aca="false">IF(O54="","",ROUND(O54*N(V54),2))</f>
        <v/>
      </c>
      <c r="Z54" s="10" t="str">
        <f aca="false">IF(Y54="","",Y54-N(X54))</f>
        <v/>
      </c>
      <c r="AA54" s="8"/>
      <c r="AB54" s="10" t="str">
        <f aca="false">IF(S54="","",ROUND(S54*N(W54),2))</f>
        <v/>
      </c>
      <c r="AC54" s="10" t="str">
        <f aca="false">IF(AB54="","",AB54-N(AA54))</f>
        <v/>
      </c>
      <c r="AD54" s="8" t="n">
        <v>3900</v>
      </c>
      <c r="AE54" s="7" t="n">
        <v>2</v>
      </c>
      <c r="AF54" s="8" t="n">
        <v>1477.89</v>
      </c>
    </row>
    <row r="55" customFormat="false" ht="15" hidden="false" customHeight="false" outlineLevel="0" collapsed="false">
      <c r="A55" s="7" t="n">
        <v>5782</v>
      </c>
      <c r="B55" s="7" t="s">
        <v>61</v>
      </c>
      <c r="C55" s="7" t="s">
        <v>230</v>
      </c>
      <c r="D55" s="7" t="s">
        <v>81</v>
      </c>
      <c r="E55" s="7" t="s">
        <v>231</v>
      </c>
      <c r="F55" s="7" t="s">
        <v>80</v>
      </c>
      <c r="G55" s="7" t="s">
        <v>232</v>
      </c>
      <c r="H55" s="7" t="s">
        <v>123</v>
      </c>
      <c r="I55" s="7" t="n">
        <v>3</v>
      </c>
      <c r="J55" s="15" t="n">
        <v>1719</v>
      </c>
      <c r="K55" s="16"/>
      <c r="L55" s="17" t="str">
        <f aca="false">IF(K55="","",K55-N(J55))</f>
        <v/>
      </c>
      <c r="M55" s="18" t="str">
        <f aca="false">IF(OR(K55="",N(J55)=0),"",L55/J55)</f>
        <v/>
      </c>
      <c r="N55" s="15" t="n">
        <v>1511.7</v>
      </c>
      <c r="O55" s="16"/>
      <c r="P55" s="17" t="str">
        <f aca="false">IF(O55="","",O55-N(N55))</f>
        <v/>
      </c>
      <c r="Q55" s="18" t="str">
        <f aca="false">IF(OR(O55="",N(N55)=0),"",P55/N55)</f>
        <v/>
      </c>
      <c r="R55" s="15" t="n">
        <v>178.5</v>
      </c>
      <c r="S55" s="16"/>
      <c r="T55" s="17" t="str">
        <f aca="false">IF(S55="","",S55-N(R55))</f>
        <v/>
      </c>
      <c r="U55" s="18" t="str">
        <f aca="false">IF(OR(S55="",N(R55)=0),"",T55/R55)</f>
        <v/>
      </c>
      <c r="V55" s="19" t="n">
        <v>0.45</v>
      </c>
      <c r="W55" s="19" t="n">
        <v>0.45</v>
      </c>
      <c r="X55" s="8" t="n">
        <v>680.27</v>
      </c>
      <c r="Y55" s="10" t="str">
        <f aca="false">IF(O55="","",ROUND(O55*N(V55),2))</f>
        <v/>
      </c>
      <c r="Z55" s="10" t="str">
        <f aca="false">IF(Y55="","",Y55-N(X55))</f>
        <v/>
      </c>
      <c r="AA55" s="8" t="n">
        <v>80.33</v>
      </c>
      <c r="AB55" s="10" t="str">
        <f aca="false">IF(S55="","",ROUND(S55*N(W55),2))</f>
        <v/>
      </c>
      <c r="AC55" s="10" t="str">
        <f aca="false">IF(AB55="","",AB55-N(AA55))</f>
        <v/>
      </c>
      <c r="AD55" s="8" t="n">
        <v>3120</v>
      </c>
      <c r="AE55" s="7" t="n">
        <v>2</v>
      </c>
      <c r="AF55" s="8" t="n">
        <v>1823.78</v>
      </c>
    </row>
    <row r="56" customFormat="false" ht="15" hidden="false" customHeight="false" outlineLevel="0" collapsed="false">
      <c r="A56" s="7" t="n">
        <v>5783</v>
      </c>
      <c r="B56" s="7" t="s">
        <v>75</v>
      </c>
      <c r="C56" s="7" t="s">
        <v>233</v>
      </c>
      <c r="D56" s="7" t="s">
        <v>84</v>
      </c>
      <c r="E56" s="7" t="s">
        <v>125</v>
      </c>
      <c r="F56" s="7" t="s">
        <v>72</v>
      </c>
      <c r="G56" s="7" t="s">
        <v>126</v>
      </c>
      <c r="H56" s="7" t="s">
        <v>123</v>
      </c>
      <c r="I56" s="7" t="n">
        <v>2</v>
      </c>
      <c r="J56" s="15" t="n">
        <v>1958.9</v>
      </c>
      <c r="K56" s="16"/>
      <c r="L56" s="17" t="str">
        <f aca="false">IF(K56="","",K56-N(J56))</f>
        <v/>
      </c>
      <c r="M56" s="18" t="str">
        <f aca="false">IF(OR(K56="",N(J56)=0),"",L56/J56)</f>
        <v/>
      </c>
      <c r="N56" s="15" t="n">
        <v>1890.2</v>
      </c>
      <c r="O56" s="16"/>
      <c r="P56" s="17" t="str">
        <f aca="false">IF(O56="","",O56-N(N56))</f>
        <v/>
      </c>
      <c r="Q56" s="18" t="str">
        <f aca="false">IF(OR(O56="",N(N56)=0),"",P56/N56)</f>
        <v/>
      </c>
      <c r="R56" s="15"/>
      <c r="S56" s="16"/>
      <c r="T56" s="17" t="str">
        <f aca="false">IF(S56="","",S56-N(R56))</f>
        <v/>
      </c>
      <c r="U56" s="18" t="str">
        <f aca="false">IF(OR(S56="",N(R56)=0),"",T56/R56)</f>
        <v/>
      </c>
      <c r="V56" s="19" t="n">
        <v>0.5</v>
      </c>
      <c r="W56" s="19"/>
      <c r="X56" s="8" t="n">
        <v>945.1</v>
      </c>
      <c r="Y56" s="10" t="str">
        <f aca="false">IF(O56="","",ROUND(O56*N(V56),2))</f>
        <v/>
      </c>
      <c r="Z56" s="10" t="str">
        <f aca="false">IF(Y56="","",Y56-N(X56))</f>
        <v/>
      </c>
      <c r="AA56" s="8"/>
      <c r="AB56" s="10" t="str">
        <f aca="false">IF(S56="","",ROUND(S56*N(W56),2))</f>
        <v/>
      </c>
      <c r="AC56" s="10" t="str">
        <f aca="false">IF(AB56="","",AB56-N(AA56))</f>
        <v/>
      </c>
      <c r="AD56" s="8" t="n">
        <v>4900</v>
      </c>
      <c r="AE56" s="7" t="n">
        <v>2</v>
      </c>
      <c r="AF56" s="8" t="n">
        <v>1875.13</v>
      </c>
    </row>
    <row r="57" customFormat="false" ht="15" hidden="false" customHeight="false" outlineLevel="0" collapsed="false">
      <c r="A57" s="7" t="n">
        <v>5783</v>
      </c>
      <c r="B57" s="7" t="s">
        <v>75</v>
      </c>
      <c r="C57" s="7" t="s">
        <v>234</v>
      </c>
      <c r="D57" s="7" t="s">
        <v>84</v>
      </c>
      <c r="E57" s="7" t="s">
        <v>125</v>
      </c>
      <c r="F57" s="7" t="s">
        <v>72</v>
      </c>
      <c r="G57" s="7" t="s">
        <v>235</v>
      </c>
      <c r="H57" s="7" t="s">
        <v>123</v>
      </c>
      <c r="I57" s="7" t="n">
        <v>5</v>
      </c>
      <c r="J57" s="15" t="n">
        <v>1981.3</v>
      </c>
      <c r="K57" s="16"/>
      <c r="L57" s="17" t="str">
        <f aca="false">IF(K57="","",K57-N(J57))</f>
        <v/>
      </c>
      <c r="M57" s="18" t="str">
        <f aca="false">IF(OR(K57="",N(J57)=0),"",L57/J57)</f>
        <v/>
      </c>
      <c r="N57" s="15" t="n">
        <v>1586.6</v>
      </c>
      <c r="O57" s="16"/>
      <c r="P57" s="17" t="str">
        <f aca="false">IF(O57="","",O57-N(N57))</f>
        <v/>
      </c>
      <c r="Q57" s="18" t="str">
        <f aca="false">IF(OR(O57="",N(N57)=0),"",P57/N57)</f>
        <v/>
      </c>
      <c r="R57" s="15" t="n">
        <v>335.7</v>
      </c>
      <c r="S57" s="16"/>
      <c r="T57" s="17" t="str">
        <f aca="false">IF(S57="","",S57-N(R57))</f>
        <v/>
      </c>
      <c r="U57" s="18" t="str">
        <f aca="false">IF(OR(S57="",N(R57)=0),"",T57/R57)</f>
        <v/>
      </c>
      <c r="V57" s="19" t="n">
        <v>0.5</v>
      </c>
      <c r="W57" s="19" t="n">
        <v>0.5</v>
      </c>
      <c r="X57" s="8" t="n">
        <v>793.3</v>
      </c>
      <c r="Y57" s="10" t="str">
        <f aca="false">IF(O57="","",ROUND(O57*N(V57),2))</f>
        <v/>
      </c>
      <c r="Z57" s="10" t="str">
        <f aca="false">IF(Y57="","",Y57-N(X57))</f>
        <v/>
      </c>
      <c r="AA57" s="8" t="n">
        <v>167.85</v>
      </c>
      <c r="AB57" s="10" t="str">
        <f aca="false">IF(S57="","",ROUND(S57*N(W57),2))</f>
        <v/>
      </c>
      <c r="AC57" s="10" t="str">
        <f aca="false">IF(AB57="","",AB57-N(AA57))</f>
        <v/>
      </c>
      <c r="AD57" s="8" t="n">
        <v>3300</v>
      </c>
      <c r="AE57" s="7" t="n">
        <v>2</v>
      </c>
      <c r="AF57" s="8" t="n">
        <v>1664.56</v>
      </c>
    </row>
    <row r="58" customFormat="false" ht="15" hidden="false" customHeight="false" outlineLevel="0" collapsed="false">
      <c r="A58" s="7" t="n">
        <v>5784</v>
      </c>
      <c r="B58" s="7" t="s">
        <v>75</v>
      </c>
      <c r="C58" s="7" t="s">
        <v>236</v>
      </c>
      <c r="D58" s="7" t="s">
        <v>67</v>
      </c>
      <c r="E58" s="7" t="s">
        <v>142</v>
      </c>
      <c r="F58" s="7" t="s">
        <v>78</v>
      </c>
      <c r="G58" s="7" t="s">
        <v>225</v>
      </c>
      <c r="H58" s="7" t="s">
        <v>123</v>
      </c>
      <c r="I58" s="7" t="n">
        <v>2</v>
      </c>
      <c r="J58" s="15" t="n">
        <v>1364.8</v>
      </c>
      <c r="K58" s="16"/>
      <c r="L58" s="17" t="str">
        <f aca="false">IF(K58="","",K58-N(J58))</f>
        <v/>
      </c>
      <c r="M58" s="18" t="str">
        <f aca="false">IF(OR(K58="",N(J58)=0),"",L58/J58)</f>
        <v/>
      </c>
      <c r="N58" s="15" t="n">
        <v>1319</v>
      </c>
      <c r="O58" s="16"/>
      <c r="P58" s="17" t="str">
        <f aca="false">IF(O58="","",O58-N(N58))</f>
        <v/>
      </c>
      <c r="Q58" s="18" t="str">
        <f aca="false">IF(OR(O58="",N(N58)=0),"",P58/N58)</f>
        <v/>
      </c>
      <c r="R58" s="15"/>
      <c r="S58" s="16"/>
      <c r="T58" s="17" t="str">
        <f aca="false">IF(S58="","",S58-N(R58))</f>
        <v/>
      </c>
      <c r="U58" s="18" t="str">
        <f aca="false">IF(OR(S58="",N(R58)=0),"",T58/R58)</f>
        <v/>
      </c>
      <c r="V58" s="19" t="n">
        <v>0.43</v>
      </c>
      <c r="W58" s="19"/>
      <c r="X58" s="8" t="n">
        <v>567.17</v>
      </c>
      <c r="Y58" s="10" t="str">
        <f aca="false">IF(O58="","",ROUND(O58*N(V58),2))</f>
        <v/>
      </c>
      <c r="Z58" s="10" t="str">
        <f aca="false">IF(Y58="","",Y58-N(X58))</f>
        <v/>
      </c>
      <c r="AA58" s="8"/>
      <c r="AB58" s="10" t="str">
        <f aca="false">IF(S58="","",ROUND(S58*N(W58),2))</f>
        <v/>
      </c>
      <c r="AC58" s="10" t="str">
        <f aca="false">IF(AB58="","",AB58-N(AA58))</f>
        <v/>
      </c>
      <c r="AD58" s="8" t="n">
        <v>3500</v>
      </c>
      <c r="AE58" s="7" t="n">
        <v>3</v>
      </c>
      <c r="AF58" s="8" t="n">
        <v>1821.39</v>
      </c>
    </row>
    <row r="59" customFormat="false" ht="15" hidden="false" customHeight="false" outlineLevel="0" collapsed="false">
      <c r="A59" s="7" t="n">
        <v>5784</v>
      </c>
      <c r="B59" s="7" t="s">
        <v>75</v>
      </c>
      <c r="C59" s="7" t="s">
        <v>237</v>
      </c>
      <c r="D59" s="7" t="s">
        <v>67</v>
      </c>
      <c r="E59" s="7" t="s">
        <v>128</v>
      </c>
      <c r="F59" s="7" t="s">
        <v>78</v>
      </c>
      <c r="G59" s="7" t="s">
        <v>238</v>
      </c>
      <c r="H59" s="7" t="s">
        <v>123</v>
      </c>
      <c r="I59" s="7" t="n">
        <v>4</v>
      </c>
      <c r="J59" s="15" t="n">
        <v>713</v>
      </c>
      <c r="K59" s="16"/>
      <c r="L59" s="17" t="str">
        <f aca="false">IF(K59="","",K59-N(J59))</f>
        <v/>
      </c>
      <c r="M59" s="18" t="str">
        <f aca="false">IF(OR(K59="",N(J59)=0),"",L59/J59)</f>
        <v/>
      </c>
      <c r="N59" s="15" t="n">
        <v>542.1</v>
      </c>
      <c r="O59" s="16"/>
      <c r="P59" s="17" t="str">
        <f aca="false">IF(O59="","",O59-N(N59))</f>
        <v/>
      </c>
      <c r="Q59" s="18" t="str">
        <f aca="false">IF(OR(O59="",N(N59)=0),"",P59/N59)</f>
        <v/>
      </c>
      <c r="R59" s="15" t="n">
        <v>121.6</v>
      </c>
      <c r="S59" s="16"/>
      <c r="T59" s="17" t="str">
        <f aca="false">IF(S59="","",S59-N(R59))</f>
        <v/>
      </c>
      <c r="U59" s="18" t="str">
        <f aca="false">IF(OR(S59="",N(R59)=0),"",T59/R59)</f>
        <v/>
      </c>
      <c r="V59" s="19" t="n">
        <v>0.43</v>
      </c>
      <c r="W59" s="19" t="n">
        <v>0.43</v>
      </c>
      <c r="X59" s="8" t="n">
        <v>233.1</v>
      </c>
      <c r="Y59" s="10" t="str">
        <f aca="false">IF(O59="","",ROUND(O59*N(V59),2))</f>
        <v/>
      </c>
      <c r="Z59" s="10" t="str">
        <f aca="false">IF(Y59="","",Y59-N(X59))</f>
        <v/>
      </c>
      <c r="AA59" s="8" t="n">
        <v>52.29</v>
      </c>
      <c r="AB59" s="10" t="str">
        <f aca="false">IF(S59="","",ROUND(S59*N(W59),2))</f>
        <v/>
      </c>
      <c r="AC59" s="10" t="str">
        <f aca="false">IF(AB59="","",AB59-N(AA59))</f>
        <v/>
      </c>
      <c r="AD59" s="8" t="n">
        <v>3100</v>
      </c>
      <c r="AE59" s="7" t="n">
        <v>3</v>
      </c>
      <c r="AF59" s="8" t="n">
        <v>1945.84</v>
      </c>
    </row>
    <row r="60" customFormat="false" ht="15" hidden="false" customHeight="false" outlineLevel="0" collapsed="false">
      <c r="A60" s="7" t="n">
        <v>5784</v>
      </c>
      <c r="B60" s="7" t="s">
        <v>75</v>
      </c>
      <c r="C60" s="7" t="s">
        <v>239</v>
      </c>
      <c r="D60" s="7" t="s">
        <v>67</v>
      </c>
      <c r="E60" s="7" t="s">
        <v>231</v>
      </c>
      <c r="F60" s="7" t="s">
        <v>78</v>
      </c>
      <c r="G60" s="7" t="s">
        <v>240</v>
      </c>
      <c r="H60" s="7" t="s">
        <v>123</v>
      </c>
      <c r="I60" s="7" t="n">
        <v>4</v>
      </c>
      <c r="J60" s="15" t="n">
        <v>1911.8</v>
      </c>
      <c r="K60" s="16"/>
      <c r="L60" s="17" t="str">
        <f aca="false">IF(K60="","",K60-N(J60))</f>
        <v/>
      </c>
      <c r="M60" s="18" t="str">
        <f aca="false">IF(OR(K60="",N(J60)=0),"",L60/J60)</f>
        <v/>
      </c>
      <c r="N60" s="15" t="n">
        <v>1607.9</v>
      </c>
      <c r="O60" s="16"/>
      <c r="P60" s="17" t="str">
        <f aca="false">IF(O60="","",O60-N(N60))</f>
        <v/>
      </c>
      <c r="Q60" s="18" t="str">
        <f aca="false">IF(OR(O60="",N(N60)=0),"",P60/N60)</f>
        <v/>
      </c>
      <c r="R60" s="15" t="n">
        <v>276.7</v>
      </c>
      <c r="S60" s="16"/>
      <c r="T60" s="17" t="str">
        <f aca="false">IF(S60="","",S60-N(R60))</f>
        <v/>
      </c>
      <c r="U60" s="18" t="str">
        <f aca="false">IF(OR(S60="",N(R60)=0),"",T60/R60)</f>
        <v/>
      </c>
      <c r="V60" s="19" t="n">
        <v>0.43</v>
      </c>
      <c r="W60" s="19" t="n">
        <v>0.43</v>
      </c>
      <c r="X60" s="8" t="n">
        <v>691.4</v>
      </c>
      <c r="Y60" s="10" t="str">
        <f aca="false">IF(O60="","",ROUND(O60*N(V60),2))</f>
        <v/>
      </c>
      <c r="Z60" s="10" t="str">
        <f aca="false">IF(Y60="","",Y60-N(X60))</f>
        <v/>
      </c>
      <c r="AA60" s="8" t="n">
        <v>118.98</v>
      </c>
      <c r="AB60" s="10" t="str">
        <f aca="false">IF(S60="","",ROUND(S60*N(W60),2))</f>
        <v/>
      </c>
      <c r="AC60" s="10" t="str">
        <f aca="false">IF(AB60="","",AB60-N(AA60))</f>
        <v/>
      </c>
      <c r="AD60" s="8" t="n">
        <v>4000</v>
      </c>
      <c r="AE60" s="7" t="n">
        <v>2</v>
      </c>
      <c r="AF60" s="8" t="n">
        <v>1780.5</v>
      </c>
    </row>
    <row r="61" customFormat="false" ht="15" hidden="false" customHeight="false" outlineLevel="0" collapsed="false">
      <c r="A61" s="7" t="n">
        <v>5785</v>
      </c>
      <c r="B61" s="7" t="s">
        <v>61</v>
      </c>
      <c r="C61" s="7" t="s">
        <v>241</v>
      </c>
      <c r="D61" s="7" t="s">
        <v>86</v>
      </c>
      <c r="E61" s="7" t="s">
        <v>231</v>
      </c>
      <c r="F61" s="7" t="s">
        <v>94</v>
      </c>
      <c r="G61" s="7" t="s">
        <v>190</v>
      </c>
      <c r="H61" s="7" t="s">
        <v>123</v>
      </c>
      <c r="I61" s="7" t="n">
        <v>2</v>
      </c>
      <c r="J61" s="15" t="n">
        <v>1528.9</v>
      </c>
      <c r="K61" s="16"/>
      <c r="L61" s="17" t="str">
        <f aca="false">IF(K61="","",K61-N(J61))</f>
        <v/>
      </c>
      <c r="M61" s="18" t="str">
        <f aca="false">IF(OR(K61="",N(J61)=0),"",L61/J61)</f>
        <v/>
      </c>
      <c r="N61" s="15" t="n">
        <v>1481.8</v>
      </c>
      <c r="O61" s="16"/>
      <c r="P61" s="17" t="str">
        <f aca="false">IF(O61="","",O61-N(N61))</f>
        <v/>
      </c>
      <c r="Q61" s="18" t="str">
        <f aca="false">IF(OR(O61="",N(N61)=0),"",P61/N61)</f>
        <v/>
      </c>
      <c r="R61" s="15"/>
      <c r="S61" s="16"/>
      <c r="T61" s="17" t="str">
        <f aca="false">IF(S61="","",S61-N(R61))</f>
        <v/>
      </c>
      <c r="U61" s="18" t="str">
        <f aca="false">IF(OR(S61="",N(R61)=0),"",T61/R61)</f>
        <v/>
      </c>
      <c r="V61" s="19" t="n">
        <v>0.45</v>
      </c>
      <c r="W61" s="19"/>
      <c r="X61" s="8" t="n">
        <v>666.81</v>
      </c>
      <c r="Y61" s="10" t="str">
        <f aca="false">IF(O61="","",ROUND(O61*N(V61),2))</f>
        <v/>
      </c>
      <c r="Z61" s="10" t="str">
        <f aca="false">IF(Y61="","",Y61-N(X61))</f>
        <v/>
      </c>
      <c r="AA61" s="8"/>
      <c r="AB61" s="10" t="str">
        <f aca="false">IF(S61="","",ROUND(S61*N(W61),2))</f>
        <v/>
      </c>
      <c r="AC61" s="10" t="str">
        <f aca="false">IF(AB61="","",AB61-N(AA61))</f>
        <v/>
      </c>
      <c r="AD61" s="8" t="n">
        <v>4300</v>
      </c>
      <c r="AE61" s="7" t="n">
        <v>2</v>
      </c>
      <c r="AF61" s="8" t="n">
        <v>2044.5</v>
      </c>
    </row>
    <row r="62" customFormat="false" ht="15" hidden="false" customHeight="false" outlineLevel="0" collapsed="false">
      <c r="A62" s="7" t="n">
        <v>5785</v>
      </c>
      <c r="B62" s="7" t="s">
        <v>61</v>
      </c>
      <c r="C62" s="7" t="s">
        <v>242</v>
      </c>
      <c r="D62" s="7" t="s">
        <v>86</v>
      </c>
      <c r="E62" s="7" t="s">
        <v>231</v>
      </c>
      <c r="F62" s="7" t="s">
        <v>94</v>
      </c>
      <c r="G62" s="7" t="s">
        <v>243</v>
      </c>
      <c r="H62" s="7" t="s">
        <v>123</v>
      </c>
      <c r="I62" s="7" t="n">
        <v>4</v>
      </c>
      <c r="J62" s="15" t="n">
        <v>689.9</v>
      </c>
      <c r="K62" s="16"/>
      <c r="L62" s="17" t="str">
        <f aca="false">IF(K62="","",K62-N(J62))</f>
        <v/>
      </c>
      <c r="M62" s="18" t="str">
        <f aca="false">IF(OR(K62="",N(J62)=0),"",L62/J62)</f>
        <v/>
      </c>
      <c r="N62" s="15" t="n">
        <v>561.1</v>
      </c>
      <c r="O62" s="16"/>
      <c r="P62" s="17" t="str">
        <f aca="false">IF(O62="","",O62-N(N62))</f>
        <v/>
      </c>
      <c r="Q62" s="18" t="str">
        <f aca="false">IF(OR(O62="",N(N62)=0),"",P62/N62)</f>
        <v/>
      </c>
      <c r="R62" s="15" t="n">
        <v>126.9</v>
      </c>
      <c r="S62" s="16"/>
      <c r="T62" s="17" t="str">
        <f aca="false">IF(S62="","",S62-N(R62))</f>
        <v/>
      </c>
      <c r="U62" s="18" t="str">
        <f aca="false">IF(OR(S62="",N(R62)=0),"",T62/R62)</f>
        <v/>
      </c>
      <c r="V62" s="19" t="n">
        <v>0.45</v>
      </c>
      <c r="W62" s="19" t="n">
        <v>0.45</v>
      </c>
      <c r="X62" s="8" t="n">
        <v>252.5</v>
      </c>
      <c r="Y62" s="10" t="str">
        <f aca="false">IF(O62="","",ROUND(O62*N(V62),2))</f>
        <v/>
      </c>
      <c r="Z62" s="10" t="str">
        <f aca="false">IF(Y62="","",Y62-N(X62))</f>
        <v/>
      </c>
      <c r="AA62" s="8" t="n">
        <v>57.11</v>
      </c>
      <c r="AB62" s="10" t="str">
        <f aca="false">IF(S62="","",ROUND(S62*N(W62),2))</f>
        <v/>
      </c>
      <c r="AC62" s="10" t="str">
        <f aca="false">IF(AB62="","",AB62-N(AA62))</f>
        <v/>
      </c>
      <c r="AD62" s="8" t="n">
        <v>800</v>
      </c>
      <c r="AE62" s="7" t="n">
        <v>2</v>
      </c>
      <c r="AF62" s="8" t="n">
        <v>1047.95</v>
      </c>
    </row>
    <row r="63" customFormat="false" ht="15" hidden="false" customHeight="false" outlineLevel="0" collapsed="false">
      <c r="A63" s="7" t="n">
        <v>5785</v>
      </c>
      <c r="B63" s="7" t="s">
        <v>61</v>
      </c>
      <c r="C63" s="7" t="s">
        <v>244</v>
      </c>
      <c r="D63" s="7" t="s">
        <v>86</v>
      </c>
      <c r="E63" s="7" t="s">
        <v>231</v>
      </c>
      <c r="F63" s="7" t="s">
        <v>94</v>
      </c>
      <c r="G63" s="7" t="s">
        <v>245</v>
      </c>
      <c r="H63" s="7" t="s">
        <v>123</v>
      </c>
      <c r="I63" s="7" t="n">
        <v>4</v>
      </c>
      <c r="J63" s="15" t="n">
        <v>1251.2</v>
      </c>
      <c r="K63" s="16"/>
      <c r="L63" s="17" t="str">
        <f aca="false">IF(K63="","",K63-N(J63))</f>
        <v/>
      </c>
      <c r="M63" s="18" t="str">
        <f aca="false">IF(OR(K63="",N(J63)=0),"",L63/J63)</f>
        <v/>
      </c>
      <c r="N63" s="15" t="n">
        <v>776.3</v>
      </c>
      <c r="O63" s="16"/>
      <c r="P63" s="17" t="str">
        <f aca="false">IF(O63="","",O63-N(N63))</f>
        <v/>
      </c>
      <c r="Q63" s="18" t="str">
        <f aca="false">IF(OR(O63="",N(N63)=0),"",P63/N63)</f>
        <v/>
      </c>
      <c r="R63" s="15" t="n">
        <v>439.8</v>
      </c>
      <c r="S63" s="16"/>
      <c r="T63" s="17" t="str">
        <f aca="false">IF(S63="","",S63-N(R63))</f>
        <v/>
      </c>
      <c r="U63" s="18" t="str">
        <f aca="false">IF(OR(S63="",N(R63)=0),"",T63/R63)</f>
        <v/>
      </c>
      <c r="V63" s="19" t="n">
        <v>0.45</v>
      </c>
      <c r="W63" s="19" t="n">
        <v>0.45</v>
      </c>
      <c r="X63" s="8" t="n">
        <v>349.34</v>
      </c>
      <c r="Y63" s="10" t="str">
        <f aca="false">IF(O63="","",ROUND(O63*N(V63),2))</f>
        <v/>
      </c>
      <c r="Z63" s="10" t="str">
        <f aca="false">IF(Y63="","",Y63-N(X63))</f>
        <v/>
      </c>
      <c r="AA63" s="8" t="n">
        <v>197.91</v>
      </c>
      <c r="AB63" s="10" t="str">
        <f aca="false">IF(S63="","",ROUND(S63*N(W63),2))</f>
        <v/>
      </c>
      <c r="AC63" s="10" t="str">
        <f aca="false">IF(AB63="","",AB63-N(AA63))</f>
        <v/>
      </c>
      <c r="AD63" s="8" t="n">
        <v>2500</v>
      </c>
      <c r="AE63" s="7" t="n">
        <v>2</v>
      </c>
      <c r="AF63" s="8" t="n">
        <v>1477.69</v>
      </c>
    </row>
    <row r="64" customFormat="false" ht="15" hidden="false" customHeight="false" outlineLevel="0" collapsed="false">
      <c r="A64" s="7" t="n">
        <v>5786</v>
      </c>
      <c r="B64" s="7" t="s">
        <v>61</v>
      </c>
      <c r="C64" s="7" t="s">
        <v>246</v>
      </c>
      <c r="D64" s="7" t="s">
        <v>88</v>
      </c>
      <c r="E64" s="7" t="s">
        <v>138</v>
      </c>
      <c r="F64" s="7" t="s">
        <v>87</v>
      </c>
      <c r="G64" s="7" t="s">
        <v>190</v>
      </c>
      <c r="H64" s="7" t="s">
        <v>123</v>
      </c>
      <c r="I64" s="7" t="n">
        <v>2</v>
      </c>
      <c r="J64" s="15" t="n">
        <v>1137.4</v>
      </c>
      <c r="K64" s="16"/>
      <c r="L64" s="17" t="str">
        <f aca="false">IF(K64="","",K64-N(J64))</f>
        <v/>
      </c>
      <c r="M64" s="18" t="str">
        <f aca="false">IF(OR(K64="",N(J64)=0),"",L64/J64)</f>
        <v/>
      </c>
      <c r="N64" s="15" t="n">
        <v>1111.6</v>
      </c>
      <c r="O64" s="16"/>
      <c r="P64" s="17" t="str">
        <f aca="false">IF(O64="","",O64-N(N64))</f>
        <v/>
      </c>
      <c r="Q64" s="18" t="str">
        <f aca="false">IF(OR(O64="",N(N64)=0),"",P64/N64)</f>
        <v/>
      </c>
      <c r="R64" s="15"/>
      <c r="S64" s="16"/>
      <c r="T64" s="17" t="str">
        <f aca="false">IF(S64="","",S64-N(R64))</f>
        <v/>
      </c>
      <c r="U64" s="18" t="str">
        <f aca="false">IF(OR(S64="",N(R64)=0),"",T64/R64)</f>
        <v/>
      </c>
      <c r="V64" s="19" t="n">
        <v>0.45</v>
      </c>
      <c r="W64" s="19"/>
      <c r="X64" s="8" t="n">
        <v>500.22</v>
      </c>
      <c r="Y64" s="10" t="str">
        <f aca="false">IF(O64="","",ROUND(O64*N(V64),2))</f>
        <v/>
      </c>
      <c r="Z64" s="10" t="str">
        <f aca="false">IF(Y64="","",Y64-N(X64))</f>
        <v/>
      </c>
      <c r="AA64" s="8"/>
      <c r="AB64" s="10" t="str">
        <f aca="false">IF(S64="","",ROUND(S64*N(W64),2))</f>
        <v/>
      </c>
      <c r="AC64" s="10" t="str">
        <f aca="false">IF(AB64="","",AB64-N(AA64))</f>
        <v/>
      </c>
      <c r="AD64" s="8" t="n">
        <v>3450</v>
      </c>
      <c r="AE64" s="7" t="n">
        <v>2</v>
      </c>
      <c r="AF64" s="8" t="n">
        <v>1263.58</v>
      </c>
    </row>
    <row r="65" customFormat="false" ht="15" hidden="false" customHeight="false" outlineLevel="0" collapsed="false">
      <c r="A65" s="7" t="n">
        <v>5786</v>
      </c>
      <c r="B65" s="7" t="s">
        <v>61</v>
      </c>
      <c r="C65" s="7" t="s">
        <v>247</v>
      </c>
      <c r="D65" s="7" t="s">
        <v>88</v>
      </c>
      <c r="E65" s="7" t="s">
        <v>138</v>
      </c>
      <c r="F65" s="7" t="s">
        <v>87</v>
      </c>
      <c r="G65" s="7" t="s">
        <v>213</v>
      </c>
      <c r="H65" s="7" t="s">
        <v>123</v>
      </c>
      <c r="I65" s="7" t="n">
        <v>3</v>
      </c>
      <c r="J65" s="15" t="n">
        <v>1272.3</v>
      </c>
      <c r="K65" s="16"/>
      <c r="L65" s="17" t="str">
        <f aca="false">IF(K65="","",K65-N(J65))</f>
        <v/>
      </c>
      <c r="M65" s="18" t="str">
        <f aca="false">IF(OR(K65="",N(J65)=0),"",L65/J65)</f>
        <v/>
      </c>
      <c r="N65" s="15" t="n">
        <v>1043.4</v>
      </c>
      <c r="O65" s="16"/>
      <c r="P65" s="17" t="str">
        <f aca="false">IF(O65="","",O65-N(N65))</f>
        <v/>
      </c>
      <c r="Q65" s="18" t="str">
        <f aca="false">IF(OR(O65="",N(N65)=0),"",P65/N65)</f>
        <v/>
      </c>
      <c r="R65" s="15" t="n">
        <v>154</v>
      </c>
      <c r="S65" s="16"/>
      <c r="T65" s="17" t="str">
        <f aca="false">IF(S65="","",S65-N(R65))</f>
        <v/>
      </c>
      <c r="U65" s="18" t="str">
        <f aca="false">IF(OR(S65="",N(R65)=0),"",T65/R65)</f>
        <v/>
      </c>
      <c r="V65" s="19" t="n">
        <v>0.45</v>
      </c>
      <c r="W65" s="19" t="n">
        <v>0.45</v>
      </c>
      <c r="X65" s="8" t="n">
        <v>469.53</v>
      </c>
      <c r="Y65" s="10" t="str">
        <f aca="false">IF(O65="","",ROUND(O65*N(V65),2))</f>
        <v/>
      </c>
      <c r="Z65" s="10" t="str">
        <f aca="false">IF(Y65="","",Y65-N(X65))</f>
        <v/>
      </c>
      <c r="AA65" s="8" t="n">
        <v>69.3</v>
      </c>
      <c r="AB65" s="10" t="str">
        <f aca="false">IF(S65="","",ROUND(S65*N(W65),2))</f>
        <v/>
      </c>
      <c r="AC65" s="10" t="str">
        <f aca="false">IF(AB65="","",AB65-N(AA65))</f>
        <v/>
      </c>
      <c r="AD65" s="8" t="n">
        <v>2300</v>
      </c>
      <c r="AE65" s="7" t="n">
        <v>2</v>
      </c>
      <c r="AF65" s="8" t="n">
        <v>1154.66</v>
      </c>
    </row>
    <row r="66" customFormat="false" ht="15" hidden="false" customHeight="false" outlineLevel="0" collapsed="false">
      <c r="A66" s="7" t="n">
        <v>5787</v>
      </c>
      <c r="B66" s="7" t="s">
        <v>61</v>
      </c>
      <c r="C66" s="7" t="s">
        <v>248</v>
      </c>
      <c r="D66" s="7" t="s">
        <v>71</v>
      </c>
      <c r="E66" s="7" t="s">
        <v>249</v>
      </c>
      <c r="F66" s="7" t="s">
        <v>89</v>
      </c>
      <c r="G66" s="7" t="s">
        <v>250</v>
      </c>
      <c r="H66" s="7" t="s">
        <v>123</v>
      </c>
      <c r="I66" s="7" t="n">
        <v>4</v>
      </c>
      <c r="J66" s="15" t="n">
        <v>1294.8</v>
      </c>
      <c r="K66" s="16"/>
      <c r="L66" s="17" t="str">
        <f aca="false">IF(K66="","",K66-N(J66))</f>
        <v/>
      </c>
      <c r="M66" s="18" t="str">
        <f aca="false">IF(OR(K66="",N(J66)=0),"",L66/J66)</f>
        <v/>
      </c>
      <c r="N66" s="15" t="n">
        <v>745.5</v>
      </c>
      <c r="O66" s="16"/>
      <c r="P66" s="17" t="str">
        <f aca="false">IF(O66="","",O66-N(N66))</f>
        <v/>
      </c>
      <c r="Q66" s="18" t="str">
        <f aca="false">IF(OR(O66="",N(N66)=0),"",P66/N66)</f>
        <v/>
      </c>
      <c r="R66" s="15" t="n">
        <v>520.2</v>
      </c>
      <c r="S66" s="16"/>
      <c r="T66" s="17" t="str">
        <f aca="false">IF(S66="","",S66-N(R66))</f>
        <v/>
      </c>
      <c r="U66" s="18" t="str">
        <f aca="false">IF(OR(S66="",N(R66)=0),"",T66/R66)</f>
        <v/>
      </c>
      <c r="V66" s="19" t="n">
        <v>0.45</v>
      </c>
      <c r="W66" s="19" t="n">
        <v>0.45</v>
      </c>
      <c r="X66" s="8" t="n">
        <v>335.48</v>
      </c>
      <c r="Y66" s="10" t="str">
        <f aca="false">IF(O66="","",ROUND(O66*N(V66),2))</f>
        <v/>
      </c>
      <c r="Z66" s="10" t="str">
        <f aca="false">IF(Y66="","",Y66-N(X66))</f>
        <v/>
      </c>
      <c r="AA66" s="8" t="n">
        <v>234.09</v>
      </c>
      <c r="AB66" s="10" t="str">
        <f aca="false">IF(S66="","",ROUND(S66*N(W66),2))</f>
        <v/>
      </c>
      <c r="AC66" s="10" t="str">
        <f aca="false">IF(AB66="","",AB66-N(AA66))</f>
        <v/>
      </c>
      <c r="AD66" s="8" t="n">
        <v>1000</v>
      </c>
      <c r="AE66" s="7" t="n">
        <v>1</v>
      </c>
      <c r="AF66" s="8" t="n">
        <v>736.59</v>
      </c>
    </row>
    <row r="67" customFormat="false" ht="15" hidden="false" customHeight="false" outlineLevel="0" collapsed="false">
      <c r="A67" s="7" t="n">
        <v>5787</v>
      </c>
      <c r="B67" s="7" t="s">
        <v>61</v>
      </c>
      <c r="C67" s="7" t="s">
        <v>251</v>
      </c>
      <c r="D67" s="7" t="s">
        <v>71</v>
      </c>
      <c r="E67" s="7" t="s">
        <v>249</v>
      </c>
      <c r="F67" s="7" t="s">
        <v>89</v>
      </c>
      <c r="G67" s="7" t="s">
        <v>252</v>
      </c>
      <c r="H67" s="7" t="s">
        <v>123</v>
      </c>
      <c r="I67" s="7" t="n">
        <v>2</v>
      </c>
      <c r="J67" s="15" t="n">
        <v>1008.9</v>
      </c>
      <c r="K67" s="16"/>
      <c r="L67" s="17" t="str">
        <f aca="false">IF(K67="","",K67-N(J67))</f>
        <v/>
      </c>
      <c r="M67" s="18" t="str">
        <f aca="false">IF(OR(K67="",N(J67)=0),"",L67/J67)</f>
        <v/>
      </c>
      <c r="N67" s="15" t="n">
        <v>958.1</v>
      </c>
      <c r="O67" s="16"/>
      <c r="P67" s="17" t="str">
        <f aca="false">IF(O67="","",O67-N(N67))</f>
        <v/>
      </c>
      <c r="Q67" s="18" t="str">
        <f aca="false">IF(OR(O67="",N(N67)=0),"",P67/N67)</f>
        <v/>
      </c>
      <c r="R67" s="15"/>
      <c r="S67" s="16"/>
      <c r="T67" s="17" t="str">
        <f aca="false">IF(S67="","",S67-N(R67))</f>
        <v/>
      </c>
      <c r="U67" s="18" t="str">
        <f aca="false">IF(OR(S67="",N(R67)=0),"",T67/R67)</f>
        <v/>
      </c>
      <c r="V67" s="19" t="n">
        <v>0.45</v>
      </c>
      <c r="W67" s="19"/>
      <c r="X67" s="8" t="n">
        <v>431.15</v>
      </c>
      <c r="Y67" s="10" t="str">
        <f aca="false">IF(O67="","",ROUND(O67*N(V67),2))</f>
        <v/>
      </c>
      <c r="Z67" s="10" t="str">
        <f aca="false">IF(Y67="","",Y67-N(X67))</f>
        <v/>
      </c>
      <c r="AA67" s="8"/>
      <c r="AB67" s="10" t="str">
        <f aca="false">IF(S67="","",ROUND(S67*N(W67),2))</f>
        <v/>
      </c>
      <c r="AC67" s="10" t="str">
        <f aca="false">IF(AB67="","",AB67-N(AA67))</f>
        <v/>
      </c>
      <c r="AD67" s="8" t="n">
        <v>3180</v>
      </c>
      <c r="AE67" s="7" t="n">
        <v>2</v>
      </c>
      <c r="AF67" s="8" t="n">
        <v>1253.96</v>
      </c>
    </row>
    <row r="68" customFormat="false" ht="15" hidden="false" customHeight="false" outlineLevel="0" collapsed="false">
      <c r="A68" s="7" t="n">
        <v>5788</v>
      </c>
      <c r="B68" s="7" t="s">
        <v>61</v>
      </c>
      <c r="C68" s="7" t="s">
        <v>253</v>
      </c>
      <c r="D68" s="7" t="s">
        <v>83</v>
      </c>
      <c r="E68" s="7" t="s">
        <v>215</v>
      </c>
      <c r="F68" s="7" t="s">
        <v>82</v>
      </c>
      <c r="G68" s="7" t="s">
        <v>190</v>
      </c>
      <c r="H68" s="7" t="s">
        <v>123</v>
      </c>
      <c r="I68" s="7" t="n">
        <v>2</v>
      </c>
      <c r="J68" s="15" t="n">
        <v>1551</v>
      </c>
      <c r="K68" s="16"/>
      <c r="L68" s="17" t="str">
        <f aca="false">IF(K68="","",K68-N(J68))</f>
        <v/>
      </c>
      <c r="M68" s="18" t="str">
        <f aca="false">IF(OR(K68="",N(J68)=0),"",L68/J68)</f>
        <v/>
      </c>
      <c r="N68" s="15" t="n">
        <v>1490.4</v>
      </c>
      <c r="O68" s="16"/>
      <c r="P68" s="17" t="str">
        <f aca="false">IF(O68="","",O68-N(N68))</f>
        <v/>
      </c>
      <c r="Q68" s="18" t="str">
        <f aca="false">IF(OR(O68="",N(N68)=0),"",P68/N68)</f>
        <v/>
      </c>
      <c r="R68" s="15"/>
      <c r="S68" s="16"/>
      <c r="T68" s="17" t="str">
        <f aca="false">IF(S68="","",S68-N(R68))</f>
        <v/>
      </c>
      <c r="U68" s="18" t="str">
        <f aca="false">IF(OR(S68="",N(R68)=0),"",T68/R68)</f>
        <v/>
      </c>
      <c r="V68" s="19" t="n">
        <v>0.45</v>
      </c>
      <c r="W68" s="19"/>
      <c r="X68" s="8" t="n">
        <v>670.68</v>
      </c>
      <c r="Y68" s="10" t="str">
        <f aca="false">IF(O68="","",ROUND(O68*N(V68),2))</f>
        <v/>
      </c>
      <c r="Z68" s="10" t="str">
        <f aca="false">IF(Y68="","",Y68-N(X68))</f>
        <v/>
      </c>
      <c r="AA68" s="8"/>
      <c r="AB68" s="10" t="str">
        <f aca="false">IF(S68="","",ROUND(S68*N(W68),2))</f>
        <v/>
      </c>
      <c r="AC68" s="10" t="str">
        <f aca="false">IF(AB68="","",AB68-N(AA68))</f>
        <v/>
      </c>
      <c r="AD68" s="8" t="n">
        <v>4860</v>
      </c>
      <c r="AE68" s="7" t="n">
        <v>2</v>
      </c>
      <c r="AF68" s="8" t="n">
        <v>2133.52</v>
      </c>
    </row>
    <row r="69" customFormat="false" ht="15" hidden="false" customHeight="false" outlineLevel="0" collapsed="false">
      <c r="A69" s="7" t="n">
        <v>5788</v>
      </c>
      <c r="B69" s="7" t="s">
        <v>61</v>
      </c>
      <c r="C69" s="7" t="s">
        <v>254</v>
      </c>
      <c r="D69" s="7" t="s">
        <v>83</v>
      </c>
      <c r="E69" s="7" t="s">
        <v>215</v>
      </c>
      <c r="F69" s="7" t="s">
        <v>82</v>
      </c>
      <c r="G69" s="7" t="s">
        <v>255</v>
      </c>
      <c r="H69" s="7" t="s">
        <v>123</v>
      </c>
      <c r="I69" s="7" t="n">
        <v>3</v>
      </c>
      <c r="J69" s="15" t="n">
        <v>829</v>
      </c>
      <c r="K69" s="16"/>
      <c r="L69" s="17" t="str">
        <f aca="false">IF(K69="","",K69-N(J69))</f>
        <v/>
      </c>
      <c r="M69" s="18" t="str">
        <f aca="false">IF(OR(K69="",N(J69)=0),"",L69/J69)</f>
        <v/>
      </c>
      <c r="N69" s="15" t="n">
        <v>750.5</v>
      </c>
      <c r="O69" s="16"/>
      <c r="P69" s="17" t="str">
        <f aca="false">IF(O69="","",O69-N(N69))</f>
        <v/>
      </c>
      <c r="Q69" s="18" t="str">
        <f aca="false">IF(OR(O69="",N(N69)=0),"",P69/N69)</f>
        <v/>
      </c>
      <c r="R69" s="15" t="n">
        <v>71.4</v>
      </c>
      <c r="S69" s="16"/>
      <c r="T69" s="17" t="str">
        <f aca="false">IF(S69="","",S69-N(R69))</f>
        <v/>
      </c>
      <c r="U69" s="18" t="str">
        <f aca="false">IF(OR(S69="",N(R69)=0),"",T69/R69)</f>
        <v/>
      </c>
      <c r="V69" s="19" t="n">
        <v>0.45</v>
      </c>
      <c r="W69" s="19" t="n">
        <v>0.45</v>
      </c>
      <c r="X69" s="8" t="n">
        <v>337.73</v>
      </c>
      <c r="Y69" s="10" t="str">
        <f aca="false">IF(O69="","",ROUND(O69*N(V69),2))</f>
        <v/>
      </c>
      <c r="Z69" s="10" t="str">
        <f aca="false">IF(Y69="","",Y69-N(X69))</f>
        <v/>
      </c>
      <c r="AA69" s="8" t="n">
        <v>32.13</v>
      </c>
      <c r="AB69" s="10" t="str">
        <f aca="false">IF(S69="","",ROUND(S69*N(W69),2))</f>
        <v/>
      </c>
      <c r="AC69" s="10" t="str">
        <f aca="false">IF(AB69="","",AB69-N(AA69))</f>
        <v/>
      </c>
      <c r="AD69" s="8" t="n">
        <v>1100</v>
      </c>
      <c r="AE69" s="7" t="n">
        <v>3</v>
      </c>
      <c r="AF69" s="8" t="n">
        <v>1396.44</v>
      </c>
    </row>
    <row r="70" customFormat="false" ht="15" hidden="false" customHeight="false" outlineLevel="0" collapsed="false">
      <c r="A70" s="7" t="n">
        <v>5788</v>
      </c>
      <c r="B70" s="7" t="s">
        <v>61</v>
      </c>
      <c r="C70" s="7" t="s">
        <v>256</v>
      </c>
      <c r="D70" s="7" t="s">
        <v>83</v>
      </c>
      <c r="E70" s="7" t="s">
        <v>215</v>
      </c>
      <c r="F70" s="7" t="s">
        <v>82</v>
      </c>
      <c r="G70" s="7" t="s">
        <v>225</v>
      </c>
      <c r="H70" s="7" t="s">
        <v>123</v>
      </c>
      <c r="I70" s="7" t="n">
        <v>3</v>
      </c>
      <c r="J70" s="15" t="n">
        <v>1564.8</v>
      </c>
      <c r="K70" s="16"/>
      <c r="L70" s="17" t="str">
        <f aca="false">IF(K70="","",K70-N(J70))</f>
        <v/>
      </c>
      <c r="M70" s="18" t="str">
        <f aca="false">IF(OR(K70="",N(J70)=0),"",L70/J70)</f>
        <v/>
      </c>
      <c r="N70" s="15" t="n">
        <v>1349.2</v>
      </c>
      <c r="O70" s="16"/>
      <c r="P70" s="17" t="str">
        <f aca="false">IF(O70="","",O70-N(N70))</f>
        <v/>
      </c>
      <c r="Q70" s="18" t="str">
        <f aca="false">IF(OR(O70="",N(N70)=0),"",P70/N70)</f>
        <v/>
      </c>
      <c r="R70" s="15" t="n">
        <v>173.8</v>
      </c>
      <c r="S70" s="16"/>
      <c r="T70" s="17" t="str">
        <f aca="false">IF(S70="","",S70-N(R70))</f>
        <v/>
      </c>
      <c r="U70" s="18" t="str">
        <f aca="false">IF(OR(S70="",N(R70)=0),"",T70/R70)</f>
        <v/>
      </c>
      <c r="V70" s="19" t="n">
        <v>0.45</v>
      </c>
      <c r="W70" s="19" t="n">
        <v>0.45</v>
      </c>
      <c r="X70" s="8" t="n">
        <v>607.14</v>
      </c>
      <c r="Y70" s="10" t="str">
        <f aca="false">IF(O70="","",ROUND(O70*N(V70),2))</f>
        <v/>
      </c>
      <c r="Z70" s="10" t="str">
        <f aca="false">IF(Y70="","",Y70-N(X70))</f>
        <v/>
      </c>
      <c r="AA70" s="8" t="n">
        <v>78.21</v>
      </c>
      <c r="AB70" s="10" t="str">
        <f aca="false">IF(S70="","",ROUND(S70*N(W70),2))</f>
        <v/>
      </c>
      <c r="AC70" s="10" t="str">
        <f aca="false">IF(AB70="","",AB70-N(AA70))</f>
        <v/>
      </c>
      <c r="AD70" s="8" t="n">
        <v>3000</v>
      </c>
      <c r="AE70" s="7" t="n">
        <v>3</v>
      </c>
      <c r="AF70" s="8" t="n">
        <v>1141.3</v>
      </c>
    </row>
    <row r="71" customFormat="false" ht="15" hidden="false" customHeight="false" outlineLevel="0" collapsed="false">
      <c r="A71" s="7" t="n">
        <v>5789</v>
      </c>
      <c r="B71" s="7" t="s">
        <v>61</v>
      </c>
      <c r="C71" s="7" t="s">
        <v>257</v>
      </c>
      <c r="D71" s="7" t="s">
        <v>84</v>
      </c>
      <c r="E71" s="7" t="s">
        <v>258</v>
      </c>
      <c r="F71" s="7" t="s">
        <v>72</v>
      </c>
      <c r="G71" s="7" t="s">
        <v>126</v>
      </c>
      <c r="H71" s="7" t="s">
        <v>123</v>
      </c>
      <c r="I71" s="7" t="n">
        <v>2</v>
      </c>
      <c r="J71" s="15" t="n">
        <v>1958.9</v>
      </c>
      <c r="K71" s="16"/>
      <c r="L71" s="17" t="str">
        <f aca="false">IF(K71="","",K71-N(J71))</f>
        <v/>
      </c>
      <c r="M71" s="18" t="str">
        <f aca="false">IF(OR(K71="",N(J71)=0),"",L71/J71)</f>
        <v/>
      </c>
      <c r="N71" s="15" t="n">
        <v>1890.2</v>
      </c>
      <c r="O71" s="16"/>
      <c r="P71" s="17" t="str">
        <f aca="false">IF(O71="","",O71-N(N71))</f>
        <v/>
      </c>
      <c r="Q71" s="18" t="str">
        <f aca="false">IF(OR(O71="",N(N71)=0),"",P71/N71)</f>
        <v/>
      </c>
      <c r="R71" s="15"/>
      <c r="S71" s="16"/>
      <c r="T71" s="17" t="str">
        <f aca="false">IF(S71="","",S71-N(R71))</f>
        <v/>
      </c>
      <c r="U71" s="18" t="str">
        <f aca="false">IF(OR(S71="",N(R71)=0),"",T71/R71)</f>
        <v/>
      </c>
      <c r="V71" s="19" t="n">
        <v>0.5</v>
      </c>
      <c r="W71" s="19"/>
      <c r="X71" s="8" t="n">
        <v>945.1</v>
      </c>
      <c r="Y71" s="10" t="str">
        <f aca="false">IF(O71="","",ROUND(O71*N(V71),2))</f>
        <v/>
      </c>
      <c r="Z71" s="10" t="str">
        <f aca="false">IF(Y71="","",Y71-N(X71))</f>
        <v/>
      </c>
      <c r="AA71" s="8"/>
      <c r="AB71" s="10" t="str">
        <f aca="false">IF(S71="","",ROUND(S71*N(W71),2))</f>
        <v/>
      </c>
      <c r="AC71" s="10" t="str">
        <f aca="false">IF(AB71="","",AB71-N(AA71))</f>
        <v/>
      </c>
      <c r="AD71" s="8" t="n">
        <v>4900</v>
      </c>
      <c r="AE71" s="7" t="n">
        <v>3</v>
      </c>
      <c r="AF71" s="8" t="n">
        <v>1953.7</v>
      </c>
    </row>
    <row r="72" customFormat="false" ht="15" hidden="false" customHeight="false" outlineLevel="0" collapsed="false">
      <c r="A72" s="7" t="n">
        <v>5789</v>
      </c>
      <c r="B72" s="7" t="s">
        <v>61</v>
      </c>
      <c r="C72" s="7" t="s">
        <v>259</v>
      </c>
      <c r="D72" s="7" t="s">
        <v>84</v>
      </c>
      <c r="E72" s="7" t="s">
        <v>258</v>
      </c>
      <c r="F72" s="7" t="s">
        <v>72</v>
      </c>
      <c r="G72" s="7" t="s">
        <v>260</v>
      </c>
      <c r="H72" s="7" t="s">
        <v>123</v>
      </c>
      <c r="I72" s="7" t="n">
        <v>4</v>
      </c>
      <c r="J72" s="15" t="n">
        <v>1986.5</v>
      </c>
      <c r="K72" s="16"/>
      <c r="L72" s="17" t="str">
        <f aca="false">IF(K72="","",K72-N(J72))</f>
        <v/>
      </c>
      <c r="M72" s="18" t="str">
        <f aca="false">IF(OR(K72="",N(J72)=0),"",L72/J72)</f>
        <v/>
      </c>
      <c r="N72" s="15" t="n">
        <v>1415.9</v>
      </c>
      <c r="O72" s="16"/>
      <c r="P72" s="17" t="str">
        <f aca="false">IF(O72="","",O72-N(N72))</f>
        <v/>
      </c>
      <c r="Q72" s="18" t="str">
        <f aca="false">IF(OR(O72="",N(N72)=0),"",P72/N72)</f>
        <v/>
      </c>
      <c r="R72" s="15" t="n">
        <v>545.6</v>
      </c>
      <c r="S72" s="16"/>
      <c r="T72" s="17" t="str">
        <f aca="false">IF(S72="","",S72-N(R72))</f>
        <v/>
      </c>
      <c r="U72" s="18" t="str">
        <f aca="false">IF(OR(S72="",N(R72)=0),"",T72/R72)</f>
        <v/>
      </c>
      <c r="V72" s="19" t="n">
        <v>0.5</v>
      </c>
      <c r="W72" s="19" t="n">
        <v>0.5</v>
      </c>
      <c r="X72" s="8" t="n">
        <v>707.95</v>
      </c>
      <c r="Y72" s="10" t="str">
        <f aca="false">IF(O72="","",ROUND(O72*N(V72),2))</f>
        <v/>
      </c>
      <c r="Z72" s="10" t="str">
        <f aca="false">IF(Y72="","",Y72-N(X72))</f>
        <v/>
      </c>
      <c r="AA72" s="8" t="n">
        <v>272.8</v>
      </c>
      <c r="AB72" s="10" t="str">
        <f aca="false">IF(S72="","",ROUND(S72*N(W72),2))</f>
        <v/>
      </c>
      <c r="AC72" s="10" t="str">
        <f aca="false">IF(AB72="","",AB72-N(AA72))</f>
        <v/>
      </c>
      <c r="AD72" s="8" t="n">
        <v>3900</v>
      </c>
      <c r="AE72" s="7" t="n">
        <v>2</v>
      </c>
      <c r="AF72" s="8" t="n">
        <v>1845.59</v>
      </c>
    </row>
    <row r="73" customFormat="false" ht="15" hidden="false" customHeight="false" outlineLevel="0" collapsed="false">
      <c r="A73" s="7" t="n">
        <v>5790</v>
      </c>
      <c r="B73" s="7" t="s">
        <v>61</v>
      </c>
      <c r="C73" s="7" t="s">
        <v>261</v>
      </c>
      <c r="D73" s="7" t="s">
        <v>93</v>
      </c>
      <c r="E73" s="7" t="s">
        <v>125</v>
      </c>
      <c r="F73" s="7" t="s">
        <v>66</v>
      </c>
      <c r="G73" s="7" t="s">
        <v>262</v>
      </c>
      <c r="H73" s="7" t="s">
        <v>123</v>
      </c>
      <c r="I73" s="7" t="n">
        <v>2</v>
      </c>
      <c r="J73" s="15" t="n">
        <v>1536.4</v>
      </c>
      <c r="K73" s="16"/>
      <c r="L73" s="17" t="str">
        <f aca="false">IF(K73="","",K73-N(J73))</f>
        <v/>
      </c>
      <c r="M73" s="18" t="str">
        <f aca="false">IF(OR(K73="",N(J73)=0),"",L73/J73)</f>
        <v/>
      </c>
      <c r="N73" s="15" t="n">
        <v>1502.1</v>
      </c>
      <c r="O73" s="16"/>
      <c r="P73" s="17" t="str">
        <f aca="false">IF(O73="","",O73-N(N73))</f>
        <v/>
      </c>
      <c r="Q73" s="18" t="str">
        <f aca="false">IF(OR(O73="",N(N73)=0),"",P73/N73)</f>
        <v/>
      </c>
      <c r="R73" s="15"/>
      <c r="S73" s="16"/>
      <c r="T73" s="17" t="str">
        <f aca="false">IF(S73="","",S73-N(R73))</f>
        <v/>
      </c>
      <c r="U73" s="18" t="str">
        <f aca="false">IF(OR(S73="",N(R73)=0),"",T73/R73)</f>
        <v/>
      </c>
      <c r="V73" s="19" t="n">
        <v>0.5</v>
      </c>
      <c r="W73" s="19"/>
      <c r="X73" s="8" t="n">
        <v>751.05</v>
      </c>
      <c r="Y73" s="10" t="str">
        <f aca="false">IF(O73="","",ROUND(O73*N(V73),2))</f>
        <v/>
      </c>
      <c r="Z73" s="10" t="str">
        <f aca="false">IF(Y73="","",Y73-N(X73))</f>
        <v/>
      </c>
      <c r="AA73" s="8"/>
      <c r="AB73" s="10" t="str">
        <f aca="false">IF(S73="","",ROUND(S73*N(W73),2))</f>
        <v/>
      </c>
      <c r="AC73" s="10" t="str">
        <f aca="false">IF(AB73="","",AB73-N(AA73))</f>
        <v/>
      </c>
      <c r="AD73" s="8" t="n">
        <v>4000</v>
      </c>
      <c r="AE73" s="7" t="n">
        <v>3</v>
      </c>
      <c r="AF73" s="8" t="n">
        <v>1868.59</v>
      </c>
    </row>
    <row r="74" customFormat="false" ht="15" hidden="false" customHeight="false" outlineLevel="0" collapsed="false">
      <c r="A74" s="7" t="n">
        <v>5790</v>
      </c>
      <c r="B74" s="7" t="s">
        <v>61</v>
      </c>
      <c r="C74" s="7" t="s">
        <v>263</v>
      </c>
      <c r="D74" s="7" t="s">
        <v>93</v>
      </c>
      <c r="E74" s="7" t="s">
        <v>125</v>
      </c>
      <c r="F74" s="7" t="s">
        <v>66</v>
      </c>
      <c r="G74" s="7"/>
      <c r="H74" s="7" t="s">
        <v>123</v>
      </c>
      <c r="I74" s="7" t="n">
        <v>4</v>
      </c>
      <c r="J74" s="15"/>
      <c r="K74" s="16"/>
      <c r="L74" s="17" t="str">
        <f aca="false">IF(K74="","",K74-N(J74))</f>
        <v/>
      </c>
      <c r="M74" s="18" t="str">
        <f aca="false">IF(OR(K74="",N(J74)=0),"",L74/J74)</f>
        <v/>
      </c>
      <c r="N74" s="15" t="n">
        <v>1046.8</v>
      </c>
      <c r="O74" s="16"/>
      <c r="P74" s="17" t="str">
        <f aca="false">IF(O74="","",O74-N(N74))</f>
        <v/>
      </c>
      <c r="Q74" s="18" t="str">
        <f aca="false">IF(OR(O74="",N(N74)=0),"",P74/N74)</f>
        <v/>
      </c>
      <c r="R74" s="15" t="n">
        <v>476.6</v>
      </c>
      <c r="S74" s="16"/>
      <c r="T74" s="17" t="str">
        <f aca="false">IF(S74="","",S74-N(R74))</f>
        <v/>
      </c>
      <c r="U74" s="18" t="str">
        <f aca="false">IF(OR(S74="",N(R74)=0),"",T74/R74)</f>
        <v/>
      </c>
      <c r="V74" s="19" t="n">
        <v>0.5</v>
      </c>
      <c r="W74" s="19" t="n">
        <v>0.5</v>
      </c>
      <c r="X74" s="8" t="n">
        <v>523.4</v>
      </c>
      <c r="Y74" s="10" t="str">
        <f aca="false">IF(O74="","",ROUND(O74*N(V74),2))</f>
        <v/>
      </c>
      <c r="Z74" s="10" t="str">
        <f aca="false">IF(Y74="","",Y74-N(X74))</f>
        <v/>
      </c>
      <c r="AA74" s="8" t="n">
        <v>238.3</v>
      </c>
      <c r="AB74" s="10" t="str">
        <f aca="false">IF(S74="","",ROUND(S74*N(W74),2))</f>
        <v/>
      </c>
      <c r="AC74" s="10" t="str">
        <f aca="false">IF(AB74="","",AB74-N(AA74))</f>
        <v/>
      </c>
      <c r="AD74" s="8"/>
      <c r="AE74" s="7" t="n">
        <v>3</v>
      </c>
      <c r="AF74" s="8" t="n">
        <v>1938.09</v>
      </c>
    </row>
    <row r="75" customFormat="false" ht="15" hidden="false" customHeight="false" outlineLevel="0" collapsed="false">
      <c r="A75" s="7" t="n">
        <v>5791</v>
      </c>
      <c r="B75" s="7" t="s">
        <v>61</v>
      </c>
      <c r="C75" s="7" t="s">
        <v>264</v>
      </c>
      <c r="D75" s="7" t="s">
        <v>81</v>
      </c>
      <c r="E75" s="7" t="s">
        <v>133</v>
      </c>
      <c r="F75" s="7" t="s">
        <v>80</v>
      </c>
      <c r="G75" s="7" t="s">
        <v>255</v>
      </c>
      <c r="H75" s="7" t="s">
        <v>123</v>
      </c>
      <c r="I75" s="7" t="n">
        <v>2</v>
      </c>
      <c r="J75" s="15" t="n">
        <v>1875.7</v>
      </c>
      <c r="K75" s="16"/>
      <c r="L75" s="17" t="str">
        <f aca="false">IF(K75="","",K75-N(J75))</f>
        <v/>
      </c>
      <c r="M75" s="18" t="str">
        <f aca="false">IF(OR(K75="",N(J75)=0),"",L75/J75)</f>
        <v/>
      </c>
      <c r="N75" s="15" t="n">
        <v>1820.1</v>
      </c>
      <c r="O75" s="16"/>
      <c r="P75" s="17" t="str">
        <f aca="false">IF(O75="","",O75-N(N75))</f>
        <v/>
      </c>
      <c r="Q75" s="18" t="str">
        <f aca="false">IF(OR(O75="",N(N75)=0),"",P75/N75)</f>
        <v/>
      </c>
      <c r="R75" s="15"/>
      <c r="S75" s="16"/>
      <c r="T75" s="17" t="str">
        <f aca="false">IF(S75="","",S75-N(R75))</f>
        <v/>
      </c>
      <c r="U75" s="18" t="str">
        <f aca="false">IF(OR(S75="",N(R75)=0),"",T75/R75)</f>
        <v/>
      </c>
      <c r="V75" s="19" t="n">
        <v>0.45</v>
      </c>
      <c r="W75" s="19"/>
      <c r="X75" s="8" t="n">
        <v>819.05</v>
      </c>
      <c r="Y75" s="10" t="str">
        <f aca="false">IF(O75="","",ROUND(O75*N(V75),2))</f>
        <v/>
      </c>
      <c r="Z75" s="10" t="str">
        <f aca="false">IF(Y75="","",Y75-N(X75))</f>
        <v/>
      </c>
      <c r="AA75" s="8"/>
      <c r="AB75" s="10" t="str">
        <f aca="false">IF(S75="","",ROUND(S75*N(W75),2))</f>
        <v/>
      </c>
      <c r="AC75" s="10" t="str">
        <f aca="false">IF(AB75="","",AB75-N(AA75))</f>
        <v/>
      </c>
      <c r="AD75" s="8" t="n">
        <v>4800</v>
      </c>
      <c r="AE75" s="7" t="n">
        <v>3</v>
      </c>
      <c r="AF75" s="8" t="n">
        <v>2019.05</v>
      </c>
    </row>
    <row r="76" customFormat="false" ht="15" hidden="false" customHeight="false" outlineLevel="0" collapsed="false">
      <c r="A76" s="7" t="n">
        <v>5791</v>
      </c>
      <c r="B76" s="7" t="s">
        <v>61</v>
      </c>
      <c r="C76" s="7" t="s">
        <v>265</v>
      </c>
      <c r="D76" s="7" t="s">
        <v>81</v>
      </c>
      <c r="E76" s="7" t="s">
        <v>133</v>
      </c>
      <c r="F76" s="7" t="s">
        <v>80</v>
      </c>
      <c r="G76" s="7" t="s">
        <v>266</v>
      </c>
      <c r="H76" s="7" t="s">
        <v>123</v>
      </c>
      <c r="I76" s="7" t="n">
        <v>4</v>
      </c>
      <c r="J76" s="15" t="n">
        <v>1987.6</v>
      </c>
      <c r="K76" s="16"/>
      <c r="L76" s="17" t="str">
        <f aca="false">IF(K76="","",K76-N(J76))</f>
        <v/>
      </c>
      <c r="M76" s="18" t="str">
        <f aca="false">IF(OR(K76="",N(J76)=0),"",L76/J76)</f>
        <v/>
      </c>
      <c r="N76" s="15" t="n">
        <v>1524.4</v>
      </c>
      <c r="O76" s="16"/>
      <c r="P76" s="17" t="str">
        <f aca="false">IF(O76="","",O76-N(N76))</f>
        <v/>
      </c>
      <c r="Q76" s="18" t="str">
        <f aca="false">IF(OR(O76="",N(N76)=0),"",P76/N76)</f>
        <v/>
      </c>
      <c r="R76" s="15" t="n">
        <v>411.1</v>
      </c>
      <c r="S76" s="16"/>
      <c r="T76" s="17" t="str">
        <f aca="false">IF(S76="","",S76-N(R76))</f>
        <v/>
      </c>
      <c r="U76" s="18" t="str">
        <f aca="false">IF(OR(S76="",N(R76)=0),"",T76/R76)</f>
        <v/>
      </c>
      <c r="V76" s="19" t="n">
        <v>0.45</v>
      </c>
      <c r="W76" s="19" t="n">
        <v>0.45</v>
      </c>
      <c r="X76" s="8" t="n">
        <v>685.98</v>
      </c>
      <c r="Y76" s="10" t="str">
        <f aca="false">IF(O76="","",ROUND(O76*N(V76),2))</f>
        <v/>
      </c>
      <c r="Z76" s="10" t="str">
        <f aca="false">IF(Y76="","",Y76-N(X76))</f>
        <v/>
      </c>
      <c r="AA76" s="8" t="n">
        <v>185</v>
      </c>
      <c r="AB76" s="10" t="str">
        <f aca="false">IF(S76="","",ROUND(S76*N(W76),2))</f>
        <v/>
      </c>
      <c r="AC76" s="10" t="str">
        <f aca="false">IF(AB76="","",AB76-N(AA76))</f>
        <v/>
      </c>
      <c r="AD76" s="8" t="n">
        <v>4400</v>
      </c>
      <c r="AE76" s="7" t="n">
        <v>2</v>
      </c>
      <c r="AF76" s="8" t="n">
        <v>1821.22</v>
      </c>
    </row>
    <row r="77" customFormat="false" ht="15" hidden="false" customHeight="false" outlineLevel="0" collapsed="false">
      <c r="A77" s="7" t="n">
        <v>5792</v>
      </c>
      <c r="B77" s="7" t="s">
        <v>61</v>
      </c>
      <c r="C77" s="7" t="s">
        <v>267</v>
      </c>
      <c r="D77" s="7" t="s">
        <v>86</v>
      </c>
      <c r="E77" s="7" t="s">
        <v>231</v>
      </c>
      <c r="F77" s="7" t="s">
        <v>94</v>
      </c>
      <c r="G77" s="7" t="s">
        <v>255</v>
      </c>
      <c r="H77" s="7" t="s">
        <v>123</v>
      </c>
      <c r="I77" s="7" t="n">
        <v>2</v>
      </c>
      <c r="J77" s="15" t="n">
        <v>1875.7</v>
      </c>
      <c r="K77" s="16"/>
      <c r="L77" s="17" t="str">
        <f aca="false">IF(K77="","",K77-N(J77))</f>
        <v/>
      </c>
      <c r="M77" s="18" t="str">
        <f aca="false">IF(OR(K77="",N(J77)=0),"",L77/J77)</f>
        <v/>
      </c>
      <c r="N77" s="15" t="n">
        <v>1820.1</v>
      </c>
      <c r="O77" s="16"/>
      <c r="P77" s="17" t="str">
        <f aca="false">IF(O77="","",O77-N(N77))</f>
        <v/>
      </c>
      <c r="Q77" s="18" t="str">
        <f aca="false">IF(OR(O77="",N(N77)=0),"",P77/N77)</f>
        <v/>
      </c>
      <c r="R77" s="15"/>
      <c r="S77" s="16"/>
      <c r="T77" s="17" t="str">
        <f aca="false">IF(S77="","",S77-N(R77))</f>
        <v/>
      </c>
      <c r="U77" s="18" t="str">
        <f aca="false">IF(OR(S77="",N(R77)=0),"",T77/R77)</f>
        <v/>
      </c>
      <c r="V77" s="19" t="n">
        <v>0.45</v>
      </c>
      <c r="W77" s="19"/>
      <c r="X77" s="8" t="n">
        <v>819.05</v>
      </c>
      <c r="Y77" s="10" t="str">
        <f aca="false">IF(O77="","",ROUND(O77*N(V77),2))</f>
        <v/>
      </c>
      <c r="Z77" s="10" t="str">
        <f aca="false">IF(Y77="","",Y77-N(X77))</f>
        <v/>
      </c>
      <c r="AA77" s="8"/>
      <c r="AB77" s="10" t="str">
        <f aca="false">IF(S77="","",ROUND(S77*N(W77),2))</f>
        <v/>
      </c>
      <c r="AC77" s="10" t="str">
        <f aca="false">IF(AB77="","",AB77-N(AA77))</f>
        <v/>
      </c>
      <c r="AD77" s="8" t="n">
        <v>4800</v>
      </c>
      <c r="AE77" s="7" t="n">
        <v>3</v>
      </c>
      <c r="AF77" s="8" t="n">
        <v>2261.6</v>
      </c>
    </row>
    <row r="78" customFormat="false" ht="15" hidden="false" customHeight="false" outlineLevel="0" collapsed="false">
      <c r="A78" s="7" t="n">
        <v>5792</v>
      </c>
      <c r="B78" s="7" t="s">
        <v>61</v>
      </c>
      <c r="C78" s="7" t="s">
        <v>268</v>
      </c>
      <c r="D78" s="7" t="s">
        <v>86</v>
      </c>
      <c r="E78" s="7" t="s">
        <v>142</v>
      </c>
      <c r="F78" s="7" t="s">
        <v>94</v>
      </c>
      <c r="G78" s="7" t="s">
        <v>269</v>
      </c>
      <c r="H78" s="7" t="s">
        <v>123</v>
      </c>
      <c r="I78" s="7" t="n">
        <v>3</v>
      </c>
      <c r="J78" s="15" t="n">
        <v>1597.4</v>
      </c>
      <c r="K78" s="16"/>
      <c r="L78" s="17" t="str">
        <f aca="false">IF(K78="","",K78-N(J78))</f>
        <v/>
      </c>
      <c r="M78" s="18" t="str">
        <f aca="false">IF(OR(K78="",N(J78)=0),"",L78/J78)</f>
        <v/>
      </c>
      <c r="N78" s="15" t="n">
        <v>1508.1</v>
      </c>
      <c r="O78" s="16"/>
      <c r="P78" s="17" t="str">
        <f aca="false">IF(O78="","",O78-N(N78))</f>
        <v/>
      </c>
      <c r="Q78" s="18" t="str">
        <f aca="false">IF(OR(O78="",N(N78)=0),"",P78/N78)</f>
        <v/>
      </c>
      <c r="R78" s="15" t="n">
        <v>68.8</v>
      </c>
      <c r="S78" s="16"/>
      <c r="T78" s="17" t="str">
        <f aca="false">IF(S78="","",S78-N(R78))</f>
        <v/>
      </c>
      <c r="U78" s="18" t="str">
        <f aca="false">IF(OR(S78="",N(R78)=0),"",T78/R78)</f>
        <v/>
      </c>
      <c r="V78" s="19" t="n">
        <v>0.45</v>
      </c>
      <c r="W78" s="19" t="n">
        <v>0.45</v>
      </c>
      <c r="X78" s="8" t="n">
        <v>678.65</v>
      </c>
      <c r="Y78" s="10" t="str">
        <f aca="false">IF(O78="","",ROUND(O78*N(V78),2))</f>
        <v/>
      </c>
      <c r="Z78" s="10" t="str">
        <f aca="false">IF(Y78="","",Y78-N(X78))</f>
        <v/>
      </c>
      <c r="AA78" s="8" t="n">
        <v>30.96</v>
      </c>
      <c r="AB78" s="10" t="str">
        <f aca="false">IF(S78="","",ROUND(S78*N(W78),2))</f>
        <v/>
      </c>
      <c r="AC78" s="10" t="str">
        <f aca="false">IF(AB78="","",AB78-N(AA78))</f>
        <v/>
      </c>
      <c r="AD78" s="8" t="n">
        <v>3800</v>
      </c>
      <c r="AE78" s="7" t="n">
        <v>2</v>
      </c>
      <c r="AF78" s="8" t="n">
        <v>1531.1</v>
      </c>
    </row>
    <row r="79" customFormat="false" ht="15" hidden="false" customHeight="false" outlineLevel="0" collapsed="false">
      <c r="A79" s="7" t="n">
        <v>5792</v>
      </c>
      <c r="B79" s="7" t="s">
        <v>61</v>
      </c>
      <c r="C79" s="7" t="s">
        <v>270</v>
      </c>
      <c r="D79" s="7" t="s">
        <v>86</v>
      </c>
      <c r="E79" s="7" t="s">
        <v>142</v>
      </c>
      <c r="F79" s="7" t="s">
        <v>94</v>
      </c>
      <c r="G79" s="7" t="s">
        <v>271</v>
      </c>
      <c r="H79" s="7" t="s">
        <v>123</v>
      </c>
      <c r="I79" s="7" t="n">
        <v>3</v>
      </c>
      <c r="J79" s="15" t="n">
        <v>472.9</v>
      </c>
      <c r="K79" s="16"/>
      <c r="L79" s="17" t="str">
        <f aca="false">IF(K79="","",K79-N(J79))</f>
        <v/>
      </c>
      <c r="M79" s="18" t="str">
        <f aca="false">IF(OR(K79="",N(J79)=0),"",L79/J79)</f>
        <v/>
      </c>
      <c r="N79" s="15" t="n">
        <v>420.4</v>
      </c>
      <c r="O79" s="16"/>
      <c r="P79" s="17" t="str">
        <f aca="false">IF(O79="","",O79-N(N79))</f>
        <v/>
      </c>
      <c r="Q79" s="18" t="str">
        <f aca="false">IF(OR(O79="",N(N79)=0),"",P79/N79)</f>
        <v/>
      </c>
      <c r="R79" s="15" t="n">
        <v>44.9</v>
      </c>
      <c r="S79" s="16"/>
      <c r="T79" s="17" t="str">
        <f aca="false">IF(S79="","",S79-N(R79))</f>
        <v/>
      </c>
      <c r="U79" s="18" t="str">
        <f aca="false">IF(OR(S79="",N(R79)=0),"",T79/R79)</f>
        <v/>
      </c>
      <c r="V79" s="19" t="n">
        <v>0.45</v>
      </c>
      <c r="W79" s="19" t="n">
        <v>0.45</v>
      </c>
      <c r="X79" s="8" t="n">
        <v>189.18</v>
      </c>
      <c r="Y79" s="10" t="str">
        <f aca="false">IF(O79="","",ROUND(O79*N(V79),2))</f>
        <v/>
      </c>
      <c r="Z79" s="10" t="str">
        <f aca="false">IF(Y79="","",Y79-N(X79))</f>
        <v/>
      </c>
      <c r="AA79" s="8" t="n">
        <v>20.21</v>
      </c>
      <c r="AB79" s="10" t="str">
        <f aca="false">IF(S79="","",ROUND(S79*N(W79),2))</f>
        <v/>
      </c>
      <c r="AC79" s="10" t="str">
        <f aca="false">IF(AB79="","",AB79-N(AA79))</f>
        <v/>
      </c>
      <c r="AD79" s="8" t="n">
        <v>1000</v>
      </c>
      <c r="AE79" s="7" t="n">
        <v>0</v>
      </c>
      <c r="AF79" s="8" t="n">
        <v>0</v>
      </c>
    </row>
    <row r="80" customFormat="false" ht="15" hidden="false" customHeight="false" outlineLevel="0" collapsed="false">
      <c r="A80" s="7" t="n">
        <v>5793</v>
      </c>
      <c r="B80" s="7" t="s">
        <v>61</v>
      </c>
      <c r="C80" s="7" t="s">
        <v>272</v>
      </c>
      <c r="D80" s="7" t="s">
        <v>74</v>
      </c>
      <c r="E80" s="7" t="s">
        <v>273</v>
      </c>
      <c r="F80" s="7" t="s">
        <v>62</v>
      </c>
      <c r="G80" s="7" t="s">
        <v>274</v>
      </c>
      <c r="H80" s="7" t="s">
        <v>123</v>
      </c>
      <c r="I80" s="7" t="n">
        <v>2</v>
      </c>
      <c r="J80" s="15" t="n">
        <v>1535.8</v>
      </c>
      <c r="K80" s="16"/>
      <c r="L80" s="17" t="str">
        <f aca="false">IF(K80="","",K80-N(J80))</f>
        <v/>
      </c>
      <c r="M80" s="18" t="str">
        <f aca="false">IF(OR(K80="",N(J80)=0),"",L80/J80)</f>
        <v/>
      </c>
      <c r="N80" s="15" t="n">
        <v>1485.2</v>
      </c>
      <c r="O80" s="16"/>
      <c r="P80" s="17" t="str">
        <f aca="false">IF(O80="","",O80-N(N80))</f>
        <v/>
      </c>
      <c r="Q80" s="18" t="str">
        <f aca="false">IF(OR(O80="",N(N80)=0),"",P80/N80)</f>
        <v/>
      </c>
      <c r="R80" s="15"/>
      <c r="S80" s="16"/>
      <c r="T80" s="17" t="str">
        <f aca="false">IF(S80="","",S80-N(R80))</f>
        <v/>
      </c>
      <c r="U80" s="18" t="str">
        <f aca="false">IF(OR(S80="",N(R80)=0),"",T80/R80)</f>
        <v/>
      </c>
      <c r="V80" s="19" t="n">
        <v>0.5</v>
      </c>
      <c r="W80" s="19"/>
      <c r="X80" s="8" t="n">
        <v>742.6</v>
      </c>
      <c r="Y80" s="10" t="str">
        <f aca="false">IF(O80="","",ROUND(O80*N(V80),2))</f>
        <v/>
      </c>
      <c r="Z80" s="10" t="str">
        <f aca="false">IF(Y80="","",Y80-N(X80))</f>
        <v/>
      </c>
      <c r="AA80" s="8"/>
      <c r="AB80" s="10" t="str">
        <f aca="false">IF(S80="","",ROUND(S80*N(W80),2))</f>
        <v/>
      </c>
      <c r="AC80" s="10" t="str">
        <f aca="false">IF(AB80="","",AB80-N(AA80))</f>
        <v/>
      </c>
      <c r="AD80" s="8" t="n">
        <v>4000</v>
      </c>
      <c r="AE80" s="7" t="n">
        <v>3</v>
      </c>
      <c r="AF80" s="8" t="n">
        <v>1880.51</v>
      </c>
    </row>
    <row r="81" customFormat="false" ht="15" hidden="false" customHeight="false" outlineLevel="0" collapsed="false">
      <c r="A81" s="7" t="n">
        <v>5793</v>
      </c>
      <c r="B81" s="7" t="s">
        <v>61</v>
      </c>
      <c r="C81" s="7" t="s">
        <v>275</v>
      </c>
      <c r="D81" s="7" t="s">
        <v>74</v>
      </c>
      <c r="E81" s="7" t="s">
        <v>276</v>
      </c>
      <c r="F81" s="7" t="s">
        <v>62</v>
      </c>
      <c r="G81" s="7" t="s">
        <v>277</v>
      </c>
      <c r="H81" s="7" t="s">
        <v>123</v>
      </c>
      <c r="I81" s="7" t="n">
        <v>4</v>
      </c>
      <c r="J81" s="15" t="n">
        <v>1525.7</v>
      </c>
      <c r="K81" s="16"/>
      <c r="L81" s="17" t="str">
        <f aca="false">IF(K81="","",K81-N(J81))</f>
        <v/>
      </c>
      <c r="M81" s="18" t="str">
        <f aca="false">IF(OR(K81="",N(J81)=0),"",L81/J81)</f>
        <v/>
      </c>
      <c r="N81" s="15" t="n">
        <v>1086</v>
      </c>
      <c r="O81" s="16"/>
      <c r="P81" s="17" t="str">
        <f aca="false">IF(O81="","",O81-N(N81))</f>
        <v/>
      </c>
      <c r="Q81" s="18" t="str">
        <f aca="false">IF(OR(O81="",N(N81)=0),"",P81/N81)</f>
        <v/>
      </c>
      <c r="R81" s="15" t="n">
        <v>402.1</v>
      </c>
      <c r="S81" s="16"/>
      <c r="T81" s="17" t="str">
        <f aca="false">IF(S81="","",S81-N(R81))</f>
        <v/>
      </c>
      <c r="U81" s="18" t="str">
        <f aca="false">IF(OR(S81="",N(R81)=0),"",T81/R81)</f>
        <v/>
      </c>
      <c r="V81" s="19" t="n">
        <v>0.5</v>
      </c>
      <c r="W81" s="19" t="n">
        <v>0.5</v>
      </c>
      <c r="X81" s="8" t="n">
        <v>543</v>
      </c>
      <c r="Y81" s="10" t="str">
        <f aca="false">IF(O81="","",ROUND(O81*N(V81),2))</f>
        <v/>
      </c>
      <c r="Z81" s="10" t="str">
        <f aca="false">IF(Y81="","",Y81-N(X81))</f>
        <v/>
      </c>
      <c r="AA81" s="8" t="n">
        <v>201.05</v>
      </c>
      <c r="AB81" s="10" t="str">
        <f aca="false">IF(S81="","",ROUND(S81*N(W81),2))</f>
        <v/>
      </c>
      <c r="AC81" s="10" t="str">
        <f aca="false">IF(AB81="","",AB81-N(AA81))</f>
        <v/>
      </c>
      <c r="AD81" s="8" t="n">
        <v>1100</v>
      </c>
      <c r="AE81" s="7" t="n">
        <v>3</v>
      </c>
      <c r="AF81" s="8" t="n">
        <v>2061.72</v>
      </c>
    </row>
    <row r="82" customFormat="false" ht="15" hidden="false" customHeight="false" outlineLevel="0" collapsed="false">
      <c r="A82" s="7" t="n">
        <v>5794</v>
      </c>
      <c r="B82" s="7" t="s">
        <v>61</v>
      </c>
      <c r="C82" s="7" t="s">
        <v>278</v>
      </c>
      <c r="D82" s="7" t="s">
        <v>67</v>
      </c>
      <c r="E82" s="7" t="s">
        <v>231</v>
      </c>
      <c r="F82" s="7" t="s">
        <v>78</v>
      </c>
      <c r="G82" s="7" t="s">
        <v>279</v>
      </c>
      <c r="H82" s="7" t="s">
        <v>123</v>
      </c>
      <c r="I82" s="7" t="n">
        <v>2</v>
      </c>
      <c r="J82" s="15" t="n">
        <v>1360.5</v>
      </c>
      <c r="K82" s="16"/>
      <c r="L82" s="17" t="str">
        <f aca="false">IF(K82="","",K82-N(J82))</f>
        <v/>
      </c>
      <c r="M82" s="18" t="str">
        <f aca="false">IF(OR(K82="",N(J82)=0),"",L82/J82)</f>
        <v/>
      </c>
      <c r="N82" s="15" t="n">
        <v>1312.6</v>
      </c>
      <c r="O82" s="16"/>
      <c r="P82" s="17" t="str">
        <f aca="false">IF(O82="","",O82-N(N82))</f>
        <v/>
      </c>
      <c r="Q82" s="18" t="str">
        <f aca="false">IF(OR(O82="",N(N82)=0),"",P82/N82)</f>
        <v/>
      </c>
      <c r="R82" s="15"/>
      <c r="S82" s="16"/>
      <c r="T82" s="17" t="str">
        <f aca="false">IF(S82="","",S82-N(R82))</f>
        <v/>
      </c>
      <c r="U82" s="18" t="str">
        <f aca="false">IF(OR(S82="",N(R82)=0),"",T82/R82)</f>
        <v/>
      </c>
      <c r="V82" s="19" t="n">
        <v>0.43</v>
      </c>
      <c r="W82" s="19"/>
      <c r="X82" s="8" t="n">
        <v>564.42</v>
      </c>
      <c r="Y82" s="10" t="str">
        <f aca="false">IF(O82="","",ROUND(O82*N(V82),2))</f>
        <v/>
      </c>
      <c r="Z82" s="10" t="str">
        <f aca="false">IF(Y82="","",Y82-N(X82))</f>
        <v/>
      </c>
      <c r="AA82" s="8"/>
      <c r="AB82" s="10" t="str">
        <f aca="false">IF(S82="","",ROUND(S82*N(W82),2))</f>
        <v/>
      </c>
      <c r="AC82" s="10" t="str">
        <f aca="false">IF(AB82="","",AB82-N(AA82))</f>
        <v/>
      </c>
      <c r="AD82" s="8" t="n">
        <v>3500</v>
      </c>
      <c r="AE82" s="7" t="n">
        <v>2</v>
      </c>
      <c r="AF82" s="8" t="n">
        <v>1394.72</v>
      </c>
    </row>
    <row r="83" customFormat="false" ht="15" hidden="false" customHeight="false" outlineLevel="0" collapsed="false">
      <c r="A83" s="7" t="n">
        <v>5794</v>
      </c>
      <c r="B83" s="7" t="s">
        <v>61</v>
      </c>
      <c r="C83" s="7" t="s">
        <v>280</v>
      </c>
      <c r="D83" s="7" t="s">
        <v>67</v>
      </c>
      <c r="E83" s="7" t="s">
        <v>138</v>
      </c>
      <c r="F83" s="7" t="s">
        <v>78</v>
      </c>
      <c r="G83" s="7" t="s">
        <v>279</v>
      </c>
      <c r="H83" s="7" t="s">
        <v>123</v>
      </c>
      <c r="I83" s="7" t="n">
        <v>3</v>
      </c>
      <c r="J83" s="15" t="n">
        <v>1768.7</v>
      </c>
      <c r="K83" s="16"/>
      <c r="L83" s="17" t="str">
        <f aca="false">IF(K83="","",K83-N(J83))</f>
        <v/>
      </c>
      <c r="M83" s="18" t="str">
        <f aca="false">IF(OR(K83="",N(J83)=0),"",L83/J83)</f>
        <v/>
      </c>
      <c r="N83" s="15" t="n">
        <v>1464.7</v>
      </c>
      <c r="O83" s="16"/>
      <c r="P83" s="17" t="str">
        <f aca="false">IF(O83="","",O83-N(N83))</f>
        <v/>
      </c>
      <c r="Q83" s="18" t="str">
        <f aca="false">IF(OR(O83="",N(N83)=0),"",P83/N83)</f>
        <v/>
      </c>
      <c r="R83" s="15" t="n">
        <v>220</v>
      </c>
      <c r="S83" s="16"/>
      <c r="T83" s="17" t="str">
        <f aca="false">IF(S83="","",S83-N(R83))</f>
        <v/>
      </c>
      <c r="U83" s="18" t="str">
        <f aca="false">IF(OR(S83="",N(R83)=0),"",T83/R83)</f>
        <v/>
      </c>
      <c r="V83" s="19" t="n">
        <v>0.43</v>
      </c>
      <c r="W83" s="19" t="n">
        <v>0.43</v>
      </c>
      <c r="X83" s="8" t="n">
        <v>629.82</v>
      </c>
      <c r="Y83" s="10" t="str">
        <f aca="false">IF(O83="","",ROUND(O83*N(V83),2))</f>
        <v/>
      </c>
      <c r="Z83" s="10" t="str">
        <f aca="false">IF(Y83="","",Y83-N(X83))</f>
        <v/>
      </c>
      <c r="AA83" s="8" t="n">
        <v>94.6</v>
      </c>
      <c r="AB83" s="10" t="str">
        <f aca="false">IF(S83="","",ROUND(S83*N(W83),2))</f>
        <v/>
      </c>
      <c r="AC83" s="10" t="str">
        <f aca="false">IF(AB83="","",AB83-N(AA83))</f>
        <v/>
      </c>
      <c r="AD83" s="8" t="n">
        <v>4000</v>
      </c>
      <c r="AE83" s="7" t="n">
        <v>4</v>
      </c>
      <c r="AF83" s="8" t="n">
        <v>2313.19</v>
      </c>
    </row>
    <row r="84" customFormat="false" ht="15" hidden="false" customHeight="false" outlineLevel="0" collapsed="false">
      <c r="A84" s="7" t="n">
        <v>5795</v>
      </c>
      <c r="B84" s="7" t="s">
        <v>61</v>
      </c>
      <c r="C84" s="7" t="s">
        <v>281</v>
      </c>
      <c r="D84" s="7" t="s">
        <v>92</v>
      </c>
      <c r="E84" s="7" t="s">
        <v>138</v>
      </c>
      <c r="F84" s="7" t="s">
        <v>91</v>
      </c>
      <c r="G84" s="7" t="s">
        <v>190</v>
      </c>
      <c r="H84" s="7" t="s">
        <v>123</v>
      </c>
      <c r="I84" s="7" t="n">
        <v>2</v>
      </c>
      <c r="J84" s="15" t="n">
        <v>1137.4</v>
      </c>
      <c r="K84" s="16"/>
      <c r="L84" s="17" t="str">
        <f aca="false">IF(K84="","",K84-N(J84))</f>
        <v/>
      </c>
      <c r="M84" s="18" t="str">
        <f aca="false">IF(OR(K84="",N(J84)=0),"",L84/J84)</f>
        <v/>
      </c>
      <c r="N84" s="15" t="n">
        <v>1111.6</v>
      </c>
      <c r="O84" s="16"/>
      <c r="P84" s="17" t="str">
        <f aca="false">IF(O84="","",O84-N(N84))</f>
        <v/>
      </c>
      <c r="Q84" s="18" t="str">
        <f aca="false">IF(OR(O84="",N(N84)=0),"",P84/N84)</f>
        <v/>
      </c>
      <c r="R84" s="15"/>
      <c r="S84" s="16"/>
      <c r="T84" s="17" t="str">
        <f aca="false">IF(S84="","",S84-N(R84))</f>
        <v/>
      </c>
      <c r="U84" s="18" t="str">
        <f aca="false">IF(OR(S84="",N(R84)=0),"",T84/R84)</f>
        <v/>
      </c>
      <c r="V84" s="19" t="n">
        <v>0.45</v>
      </c>
      <c r="W84" s="19"/>
      <c r="X84" s="8" t="n">
        <v>500.22</v>
      </c>
      <c r="Y84" s="10" t="str">
        <f aca="false">IF(O84="","",ROUND(O84*N(V84),2))</f>
        <v/>
      </c>
      <c r="Z84" s="10" t="str">
        <f aca="false">IF(Y84="","",Y84-N(X84))</f>
        <v/>
      </c>
      <c r="AA84" s="8"/>
      <c r="AB84" s="10" t="str">
        <f aca="false">IF(S84="","",ROUND(S84*N(W84),2))</f>
        <v/>
      </c>
      <c r="AC84" s="10" t="str">
        <f aca="false">IF(AB84="","",AB84-N(AA84))</f>
        <v/>
      </c>
      <c r="AD84" s="8" t="n">
        <v>3450</v>
      </c>
      <c r="AE84" s="7" t="n">
        <v>2</v>
      </c>
      <c r="AF84" s="8" t="n">
        <v>1002.59</v>
      </c>
    </row>
    <row r="85" customFormat="false" ht="15" hidden="false" customHeight="false" outlineLevel="0" collapsed="false">
      <c r="A85" s="7" t="n">
        <v>5795</v>
      </c>
      <c r="B85" s="7" t="s">
        <v>61</v>
      </c>
      <c r="C85" s="7" t="s">
        <v>282</v>
      </c>
      <c r="D85" s="7" t="s">
        <v>92</v>
      </c>
      <c r="E85" s="7" t="s">
        <v>138</v>
      </c>
      <c r="F85" s="7" t="s">
        <v>91</v>
      </c>
      <c r="G85" s="7" t="s">
        <v>279</v>
      </c>
      <c r="H85" s="7" t="s">
        <v>123</v>
      </c>
      <c r="I85" s="7" t="n">
        <v>3</v>
      </c>
      <c r="J85" s="15" t="n">
        <v>1257</v>
      </c>
      <c r="K85" s="16"/>
      <c r="L85" s="17" t="str">
        <f aca="false">IF(K85="","",K85-N(J85))</f>
        <v/>
      </c>
      <c r="M85" s="18" t="str">
        <f aca="false">IF(OR(K85="",N(J85)=0),"",L85/J85)</f>
        <v/>
      </c>
      <c r="N85" s="15" t="n">
        <v>1164.9</v>
      </c>
      <c r="O85" s="16"/>
      <c r="P85" s="17" t="str">
        <f aca="false">IF(O85="","",O85-N(N85))</f>
        <v/>
      </c>
      <c r="Q85" s="18" t="str">
        <f aca="false">IF(OR(O85="",N(N85)=0),"",P85/N85)</f>
        <v/>
      </c>
      <c r="R85" s="15" t="n">
        <v>59.1</v>
      </c>
      <c r="S85" s="16"/>
      <c r="T85" s="17" t="str">
        <f aca="false">IF(S85="","",S85-N(R85))</f>
        <v/>
      </c>
      <c r="U85" s="18" t="str">
        <f aca="false">IF(OR(S85="",N(R85)=0),"",T85/R85)</f>
        <v/>
      </c>
      <c r="V85" s="19" t="n">
        <v>0.45</v>
      </c>
      <c r="W85" s="19" t="n">
        <v>0.45</v>
      </c>
      <c r="X85" s="8" t="n">
        <v>524.21</v>
      </c>
      <c r="Y85" s="10" t="str">
        <f aca="false">IF(O85="","",ROUND(O85*N(V85),2))</f>
        <v/>
      </c>
      <c r="Z85" s="10" t="str">
        <f aca="false">IF(Y85="","",Y85-N(X85))</f>
        <v/>
      </c>
      <c r="AA85" s="8" t="n">
        <v>26.6</v>
      </c>
      <c r="AB85" s="10" t="str">
        <f aca="false">IF(S85="","",ROUND(S85*N(W85),2))</f>
        <v/>
      </c>
      <c r="AC85" s="10" t="str">
        <f aca="false">IF(AB85="","",AB85-N(AA85))</f>
        <v/>
      </c>
      <c r="AD85" s="8" t="n">
        <v>2100</v>
      </c>
      <c r="AE85" s="7" t="n">
        <v>2</v>
      </c>
      <c r="AF85" s="8" t="n">
        <v>1681.76</v>
      </c>
    </row>
    <row r="86" customFormat="false" ht="15" hidden="false" customHeight="false" outlineLevel="0" collapsed="false">
      <c r="A86" s="12" t="s">
        <v>95</v>
      </c>
      <c r="J86" s="20" t="n">
        <f aca="false">SUM(J5:J85)</f>
        <v>113511.8</v>
      </c>
      <c r="K86" s="20" t="n">
        <f aca="false">SUM(K5:K85)</f>
        <v>0</v>
      </c>
      <c r="L86" s="20" t="n">
        <f aca="false">SUM(L5:L85)</f>
        <v>0</v>
      </c>
      <c r="M86" s="21" t="str">
        <f aca="false">IF(N(K86)=0,"",L86/J86)</f>
        <v/>
      </c>
      <c r="N86" s="20" t="n">
        <f aca="false">SUM(N5:N85)</f>
        <v>102426.8</v>
      </c>
      <c r="O86" s="20" t="n">
        <f aca="false">SUM(O5:O85)</f>
        <v>0</v>
      </c>
      <c r="P86" s="20" t="n">
        <f aca="false">SUM(P5:P85)</f>
        <v>0</v>
      </c>
      <c r="Q86" s="21" t="str">
        <f aca="false">IF(N(O86)=0,"",P86/N86)</f>
        <v/>
      </c>
      <c r="R86" s="20" t="n">
        <f aca="false">SUM(R5:R85)</f>
        <v>10663.5</v>
      </c>
      <c r="S86" s="20" t="n">
        <f aca="false">SUM(S5:S85)</f>
        <v>0</v>
      </c>
      <c r="T86" s="20" t="n">
        <f aca="false">SUM(T5:T85)</f>
        <v>0</v>
      </c>
      <c r="U86" s="21" t="str">
        <f aca="false">IF(N(S86)=0,"",T86/R86)</f>
        <v/>
      </c>
      <c r="X86" s="14" t="n">
        <f aca="false">SUM(X5:X85)</f>
        <v>47526.46</v>
      </c>
      <c r="Y86" s="14" t="n">
        <f aca="false">SUM(Y5:Y85)</f>
        <v>0</v>
      </c>
      <c r="Z86" s="14" t="n">
        <f aca="false">SUM(Z5:Z85)</f>
        <v>0</v>
      </c>
      <c r="AA86" s="14" t="n">
        <f aca="false">SUM(AA5:AA85)</f>
        <v>4948.63</v>
      </c>
      <c r="AB86" s="14" t="n">
        <f aca="false">SUM(AB5:AB85)</f>
        <v>0</v>
      </c>
      <c r="AC86" s="14" t="n">
        <f aca="false">SUM(AC5:AC85)</f>
        <v>0</v>
      </c>
      <c r="AD86" s="14" t="n">
        <f aca="false">SUM(AD5:AD85)</f>
        <v>263708</v>
      </c>
      <c r="AE86" s="14" t="n">
        <f aca="false">SUM(AE5:AE85)</f>
        <v>180</v>
      </c>
      <c r="AF86" s="14" t="n">
        <f aca="false">SUM(AF5:AF85)</f>
        <v>119550.3</v>
      </c>
    </row>
  </sheetData>
  <autoFilter ref="A4:AF85"/>
  <conditionalFormatting sqref="L5:L85">
    <cfRule type="cellIs" priority="2" operator="notEqual" aboveAverage="0" equalAverage="0" bottom="0" percent="0" rank="0" text="" dxfId="6">
      <formula>0</formula>
    </cfRule>
  </conditionalFormatting>
  <conditionalFormatting sqref="P5:P85">
    <cfRule type="cellIs" priority="3" operator="notEqual" aboveAverage="0" equalAverage="0" bottom="0" percent="0" rank="0" text="" dxfId="6">
      <formula>0</formula>
    </cfRule>
  </conditionalFormatting>
  <conditionalFormatting sqref="T5:T85">
    <cfRule type="cellIs" priority="4" operator="notEqual" aboveAverage="0" equalAverage="0" bottom="0" percent="0" rank="0" text="" dxfId="6">
      <formula>0</formula>
    </cfRule>
  </conditionalFormatting>
  <conditionalFormatting sqref="Z5:Z85">
    <cfRule type="cellIs" priority="5" operator="notEqual" aboveAverage="0" equalAverage="0" bottom="0" percent="0" rank="0" text="" dxfId="6">
      <formula>0</formula>
    </cfRule>
  </conditionalFormatting>
  <conditionalFormatting sqref="AC5:AC85">
    <cfRule type="cellIs" priority="6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0"/>
  </cols>
  <sheetData>
    <row r="1" customFormat="false" ht="16.1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4" t="s">
        <v>284</v>
      </c>
    </row>
    <row r="4" customFormat="false" ht="31.5" hidden="false" customHeight="true" outlineLevel="0" collapsed="false">
      <c r="A4" s="5" t="s">
        <v>39</v>
      </c>
      <c r="B4" s="5" t="s">
        <v>40</v>
      </c>
      <c r="C4" s="5" t="s">
        <v>98</v>
      </c>
      <c r="D4" s="5" t="s">
        <v>41</v>
      </c>
      <c r="E4" s="5" t="s">
        <v>42</v>
      </c>
      <c r="F4" s="5" t="s">
        <v>285</v>
      </c>
      <c r="G4" s="5" t="s">
        <v>286</v>
      </c>
      <c r="H4" s="5" t="s">
        <v>287</v>
      </c>
      <c r="I4" s="5" t="s">
        <v>288</v>
      </c>
      <c r="J4" s="5" t="s">
        <v>289</v>
      </c>
      <c r="K4" s="5" t="s">
        <v>290</v>
      </c>
      <c r="L4" s="5" t="s">
        <v>47</v>
      </c>
      <c r="M4" s="5" t="s">
        <v>291</v>
      </c>
      <c r="N4" s="5" t="s">
        <v>292</v>
      </c>
      <c r="O4" s="5" t="s">
        <v>293</v>
      </c>
      <c r="P4" s="5" t="s">
        <v>47</v>
      </c>
    </row>
    <row r="5" customFormat="false" ht="15" hidden="false" customHeight="false" outlineLevel="0" collapsed="false">
      <c r="A5" s="7" t="n">
        <v>5753</v>
      </c>
      <c r="B5" s="7" t="s">
        <v>61</v>
      </c>
      <c r="C5" s="7" t="s">
        <v>120</v>
      </c>
      <c r="D5" s="7" t="s">
        <v>62</v>
      </c>
      <c r="E5" s="7" t="s">
        <v>93</v>
      </c>
      <c r="F5" s="7" t="s">
        <v>294</v>
      </c>
      <c r="G5" s="7" t="s">
        <v>295</v>
      </c>
      <c r="H5" s="7" t="s">
        <v>296</v>
      </c>
      <c r="I5" s="7" t="s">
        <v>297</v>
      </c>
      <c r="J5" s="22" t="n">
        <v>155.771</v>
      </c>
      <c r="K5" s="23"/>
      <c r="L5" s="24" t="str">
        <f aca="false">IF(K5="","",K5-J5)</f>
        <v/>
      </c>
      <c r="M5" s="22" t="n">
        <v>5.149</v>
      </c>
      <c r="N5" s="8" t="n">
        <v>802.06</v>
      </c>
      <c r="O5" s="9"/>
      <c r="P5" s="10" t="str">
        <f aca="false">IF(O5="","",O5-N5)</f>
        <v/>
      </c>
    </row>
    <row r="6" customFormat="false" ht="15" hidden="false" customHeight="false" outlineLevel="0" collapsed="false">
      <c r="A6" s="7" t="n">
        <v>5753</v>
      </c>
      <c r="B6" s="7" t="s">
        <v>61</v>
      </c>
      <c r="C6" s="7" t="s">
        <v>120</v>
      </c>
      <c r="D6" s="7" t="s">
        <v>62</v>
      </c>
      <c r="E6" s="7" t="s">
        <v>93</v>
      </c>
      <c r="F6" s="7" t="s">
        <v>298</v>
      </c>
      <c r="G6" s="7" t="s">
        <v>295</v>
      </c>
      <c r="H6" s="7" t="s">
        <v>299</v>
      </c>
      <c r="I6" s="7" t="s">
        <v>300</v>
      </c>
      <c r="J6" s="22" t="n">
        <v>121.612</v>
      </c>
      <c r="K6" s="23"/>
      <c r="L6" s="24" t="str">
        <f aca="false">IF(K6="","",K6-J6)</f>
        <v/>
      </c>
      <c r="M6" s="22" t="n">
        <v>5.759</v>
      </c>
      <c r="N6" s="8" t="n">
        <v>700.36</v>
      </c>
      <c r="O6" s="9"/>
      <c r="P6" s="10" t="str">
        <f aca="false">IF(O6="","",O6-N6)</f>
        <v/>
      </c>
    </row>
    <row r="7" customFormat="false" ht="15" hidden="false" customHeight="false" outlineLevel="0" collapsed="false">
      <c r="A7" s="7" t="n">
        <v>5753</v>
      </c>
      <c r="B7" s="7" t="s">
        <v>61</v>
      </c>
      <c r="C7" s="7" t="s">
        <v>120</v>
      </c>
      <c r="D7" s="7" t="s">
        <v>62</v>
      </c>
      <c r="E7" s="7" t="s">
        <v>93</v>
      </c>
      <c r="F7" s="7" t="s">
        <v>301</v>
      </c>
      <c r="G7" s="7" t="s">
        <v>295</v>
      </c>
      <c r="H7" s="7" t="s">
        <v>302</v>
      </c>
      <c r="I7" s="7" t="s">
        <v>303</v>
      </c>
      <c r="J7" s="22" t="n">
        <v>123.038</v>
      </c>
      <c r="K7" s="23"/>
      <c r="L7" s="24" t="str">
        <f aca="false">IF(K7="","",K7-J7)</f>
        <v/>
      </c>
      <c r="M7" s="22" t="n">
        <v>5.289</v>
      </c>
      <c r="N7" s="8" t="n">
        <v>650.75</v>
      </c>
      <c r="O7" s="9"/>
      <c r="P7" s="10" t="str">
        <f aca="false">IF(O7="","",O7-N7)</f>
        <v/>
      </c>
    </row>
    <row r="8" customFormat="false" ht="15" hidden="false" customHeight="false" outlineLevel="0" collapsed="false">
      <c r="A8" s="7" t="n">
        <v>5753</v>
      </c>
      <c r="B8" s="7" t="s">
        <v>61</v>
      </c>
      <c r="C8" s="7" t="s">
        <v>124</v>
      </c>
      <c r="D8" s="7" t="s">
        <v>62</v>
      </c>
      <c r="E8" s="7" t="s">
        <v>74</v>
      </c>
      <c r="F8" s="7" t="s">
        <v>304</v>
      </c>
      <c r="G8" s="7" t="s">
        <v>295</v>
      </c>
      <c r="H8" s="7" t="s">
        <v>305</v>
      </c>
      <c r="I8" s="7" t="s">
        <v>306</v>
      </c>
      <c r="J8" s="22" t="n">
        <v>124.037</v>
      </c>
      <c r="K8" s="23"/>
      <c r="L8" s="24" t="str">
        <f aca="false">IF(K8="","",K8-J8)</f>
        <v/>
      </c>
      <c r="M8" s="22" t="n">
        <v>5.249</v>
      </c>
      <c r="N8" s="8" t="n">
        <v>651.07</v>
      </c>
      <c r="O8" s="9"/>
      <c r="P8" s="10" t="str">
        <f aca="false">IF(O8="","",O8-N8)</f>
        <v/>
      </c>
    </row>
    <row r="9" customFormat="false" ht="15" hidden="false" customHeight="false" outlineLevel="0" collapsed="false">
      <c r="A9" s="7" t="n">
        <v>5753</v>
      </c>
      <c r="B9" s="7" t="s">
        <v>61</v>
      </c>
      <c r="C9" s="7" t="s">
        <v>124</v>
      </c>
      <c r="D9" s="7" t="s">
        <v>62</v>
      </c>
      <c r="E9" s="7" t="s">
        <v>74</v>
      </c>
      <c r="F9" s="7" t="s">
        <v>307</v>
      </c>
      <c r="G9" s="7" t="s">
        <v>295</v>
      </c>
      <c r="H9" s="7" t="s">
        <v>308</v>
      </c>
      <c r="I9" s="7" t="s">
        <v>309</v>
      </c>
      <c r="J9" s="22" t="n">
        <v>120.879</v>
      </c>
      <c r="K9" s="23"/>
      <c r="L9" s="24" t="str">
        <f aca="false">IF(K9="","",K9-J9)</f>
        <v/>
      </c>
      <c r="M9" s="22" t="n">
        <v>5.689</v>
      </c>
      <c r="N9" s="8" t="n">
        <v>687.68</v>
      </c>
      <c r="O9" s="9"/>
      <c r="P9" s="10" t="str">
        <f aca="false">IF(O9="","",O9-N9)</f>
        <v/>
      </c>
    </row>
    <row r="10" customFormat="false" ht="15" hidden="false" customHeight="false" outlineLevel="0" collapsed="false">
      <c r="A10" s="7" t="n">
        <v>5760</v>
      </c>
      <c r="B10" s="7" t="s">
        <v>61</v>
      </c>
      <c r="C10" s="7" t="s">
        <v>127</v>
      </c>
      <c r="D10" s="7" t="s">
        <v>64</v>
      </c>
      <c r="E10" s="7" t="s">
        <v>65</v>
      </c>
      <c r="F10" s="7" t="s">
        <v>310</v>
      </c>
      <c r="G10" s="7" t="s">
        <v>295</v>
      </c>
      <c r="H10" s="7" t="s">
        <v>311</v>
      </c>
      <c r="I10" s="7" t="s">
        <v>312</v>
      </c>
      <c r="J10" s="22" t="n">
        <v>164.566</v>
      </c>
      <c r="K10" s="23"/>
      <c r="L10" s="24" t="str">
        <f aca="false">IF(K10="","",K10-J10)</f>
        <v/>
      </c>
      <c r="M10" s="22" t="n">
        <v>5.549</v>
      </c>
      <c r="N10" s="8" t="n">
        <v>913.18</v>
      </c>
      <c r="O10" s="9"/>
      <c r="P10" s="10" t="str">
        <f aca="false">IF(O10="","",O10-N10)</f>
        <v/>
      </c>
    </row>
    <row r="11" customFormat="false" ht="15" hidden="false" customHeight="false" outlineLevel="0" collapsed="false">
      <c r="A11" s="7" t="n">
        <v>5760</v>
      </c>
      <c r="B11" s="7" t="s">
        <v>61</v>
      </c>
      <c r="C11" s="7" t="s">
        <v>130</v>
      </c>
      <c r="D11" s="7" t="s">
        <v>64</v>
      </c>
      <c r="E11" s="7" t="s">
        <v>65</v>
      </c>
      <c r="F11" s="7" t="s">
        <v>313</v>
      </c>
      <c r="G11" s="7" t="s">
        <v>295</v>
      </c>
      <c r="H11" s="7" t="s">
        <v>314</v>
      </c>
      <c r="I11" s="7" t="s">
        <v>315</v>
      </c>
      <c r="J11" s="22" t="n">
        <v>166.312</v>
      </c>
      <c r="K11" s="23"/>
      <c r="L11" s="24" t="str">
        <f aca="false">IF(K11="","",K11-J11)</f>
        <v/>
      </c>
      <c r="M11" s="22" t="n">
        <v>5.159</v>
      </c>
      <c r="N11" s="8" t="n">
        <v>858</v>
      </c>
      <c r="O11" s="9"/>
      <c r="P11" s="10" t="str">
        <f aca="false">IF(O11="","",O11-N11)</f>
        <v/>
      </c>
    </row>
    <row r="12" customFormat="false" ht="15" hidden="false" customHeight="false" outlineLevel="0" collapsed="false">
      <c r="A12" s="7" t="n">
        <v>5760</v>
      </c>
      <c r="B12" s="7" t="s">
        <v>61</v>
      </c>
      <c r="C12" s="7" t="s">
        <v>130</v>
      </c>
      <c r="D12" s="7" t="s">
        <v>64</v>
      </c>
      <c r="E12" s="7" t="s">
        <v>65</v>
      </c>
      <c r="F12" s="7" t="s">
        <v>316</v>
      </c>
      <c r="G12" s="7" t="s">
        <v>295</v>
      </c>
      <c r="H12" s="7" t="s">
        <v>317</v>
      </c>
      <c r="I12" s="7" t="s">
        <v>318</v>
      </c>
      <c r="J12" s="22" t="n">
        <v>168.376</v>
      </c>
      <c r="K12" s="23"/>
      <c r="L12" s="24" t="str">
        <f aca="false">IF(K12="","",K12-J12)</f>
        <v/>
      </c>
      <c r="M12" s="22" t="n">
        <v>5.289</v>
      </c>
      <c r="N12" s="8" t="n">
        <v>890.54</v>
      </c>
      <c r="O12" s="9"/>
      <c r="P12" s="10" t="str">
        <f aca="false">IF(O12="","",O12-N12)</f>
        <v/>
      </c>
    </row>
    <row r="13" customFormat="false" ht="15" hidden="false" customHeight="false" outlineLevel="0" collapsed="false">
      <c r="A13" s="7" t="n">
        <v>5761</v>
      </c>
      <c r="B13" s="7" t="s">
        <v>61</v>
      </c>
      <c r="C13" s="7" t="s">
        <v>132</v>
      </c>
      <c r="D13" s="7" t="s">
        <v>66</v>
      </c>
      <c r="E13" s="7" t="s">
        <v>67</v>
      </c>
      <c r="F13" s="7" t="s">
        <v>319</v>
      </c>
      <c r="G13" s="7" t="s">
        <v>295</v>
      </c>
      <c r="H13" s="7" t="s">
        <v>320</v>
      </c>
      <c r="I13" s="7" t="s">
        <v>321</v>
      </c>
      <c r="J13" s="22" t="n">
        <v>160</v>
      </c>
      <c r="K13" s="23"/>
      <c r="L13" s="24" t="str">
        <f aca="false">IF(K13="","",K13-J13)</f>
        <v/>
      </c>
      <c r="M13" s="22" t="n">
        <v>5.079</v>
      </c>
      <c r="N13" s="8" t="n">
        <v>812.64</v>
      </c>
      <c r="O13" s="9"/>
      <c r="P13" s="10" t="str">
        <f aca="false">IF(O13="","",O13-N13)</f>
        <v/>
      </c>
    </row>
    <row r="14" customFormat="false" ht="15" hidden="false" customHeight="false" outlineLevel="0" collapsed="false">
      <c r="A14" s="7" t="n">
        <v>5761</v>
      </c>
      <c r="B14" s="7" t="s">
        <v>61</v>
      </c>
      <c r="C14" s="7" t="s">
        <v>132</v>
      </c>
      <c r="D14" s="7" t="s">
        <v>66</v>
      </c>
      <c r="E14" s="7" t="s">
        <v>67</v>
      </c>
      <c r="F14" s="7" t="s">
        <v>319</v>
      </c>
      <c r="G14" s="7" t="s">
        <v>295</v>
      </c>
      <c r="H14" s="7" t="s">
        <v>322</v>
      </c>
      <c r="I14" s="7" t="s">
        <v>323</v>
      </c>
      <c r="J14" s="22" t="n">
        <v>38.488</v>
      </c>
      <c r="K14" s="23"/>
      <c r="L14" s="24" t="str">
        <f aca="false">IF(K14="","",K14-J14)</f>
        <v/>
      </c>
      <c r="M14" s="22" t="n">
        <v>5.199</v>
      </c>
      <c r="N14" s="8" t="n">
        <v>200.1</v>
      </c>
      <c r="O14" s="9"/>
      <c r="P14" s="10" t="str">
        <f aca="false">IF(O14="","",O14-N14)</f>
        <v/>
      </c>
    </row>
    <row r="15" customFormat="false" ht="15" hidden="false" customHeight="false" outlineLevel="0" collapsed="false">
      <c r="A15" s="7" t="n">
        <v>5761</v>
      </c>
      <c r="B15" s="7" t="s">
        <v>61</v>
      </c>
      <c r="C15" s="7" t="s">
        <v>135</v>
      </c>
      <c r="D15" s="7" t="s">
        <v>66</v>
      </c>
      <c r="E15" s="7" t="s">
        <v>67</v>
      </c>
      <c r="F15" s="7" t="s">
        <v>324</v>
      </c>
      <c r="G15" s="7" t="s">
        <v>295</v>
      </c>
      <c r="H15" s="7" t="s">
        <v>325</v>
      </c>
      <c r="I15" s="7" t="s">
        <v>326</v>
      </c>
      <c r="J15" s="22" t="n">
        <v>106.009</v>
      </c>
      <c r="K15" s="23"/>
      <c r="L15" s="24" t="str">
        <f aca="false">IF(K15="","",K15-J15)</f>
        <v/>
      </c>
      <c r="M15" s="22" t="n">
        <v>5.089</v>
      </c>
      <c r="N15" s="8" t="n">
        <v>539.48</v>
      </c>
      <c r="O15" s="9"/>
      <c r="P15" s="10" t="str">
        <f aca="false">IF(O15="","",O15-N15)</f>
        <v/>
      </c>
    </row>
    <row r="16" customFormat="false" ht="15" hidden="false" customHeight="false" outlineLevel="0" collapsed="false">
      <c r="A16" s="7" t="n">
        <v>5761</v>
      </c>
      <c r="B16" s="7" t="s">
        <v>61</v>
      </c>
      <c r="C16" s="7" t="s">
        <v>135</v>
      </c>
      <c r="D16" s="7" t="s">
        <v>66</v>
      </c>
      <c r="E16" s="7" t="s">
        <v>67</v>
      </c>
      <c r="F16" s="7" t="s">
        <v>313</v>
      </c>
      <c r="G16" s="7" t="s">
        <v>295</v>
      </c>
      <c r="H16" s="7" t="s">
        <v>327</v>
      </c>
      <c r="I16" s="7" t="s">
        <v>328</v>
      </c>
      <c r="J16" s="22" t="n">
        <v>151.005</v>
      </c>
      <c r="K16" s="23"/>
      <c r="L16" s="24" t="str">
        <f aca="false">IF(K16="","",K16-J16)</f>
        <v/>
      </c>
      <c r="M16" s="22" t="n">
        <v>5.449</v>
      </c>
      <c r="N16" s="8" t="n">
        <v>822.83</v>
      </c>
      <c r="O16" s="9"/>
      <c r="P16" s="10" t="str">
        <f aca="false">IF(O16="","",O16-N16)</f>
        <v/>
      </c>
    </row>
    <row r="17" customFormat="false" ht="15" hidden="false" customHeight="false" outlineLevel="0" collapsed="false">
      <c r="A17" s="7" t="n">
        <v>5761</v>
      </c>
      <c r="B17" s="7" t="s">
        <v>61</v>
      </c>
      <c r="C17" s="7" t="s">
        <v>135</v>
      </c>
      <c r="D17" s="7" t="s">
        <v>66</v>
      </c>
      <c r="E17" s="7" t="s">
        <v>67</v>
      </c>
      <c r="F17" s="7" t="s">
        <v>329</v>
      </c>
      <c r="G17" s="7" t="s">
        <v>295</v>
      </c>
      <c r="H17" s="7" t="s">
        <v>330</v>
      </c>
      <c r="I17" s="7" t="s">
        <v>331</v>
      </c>
      <c r="J17" s="22" t="n">
        <v>82.646</v>
      </c>
      <c r="K17" s="23"/>
      <c r="L17" s="24" t="str">
        <f aca="false">IF(K17="","",K17-J17)</f>
        <v/>
      </c>
      <c r="M17" s="22" t="n">
        <v>5.489</v>
      </c>
      <c r="N17" s="8" t="n">
        <v>453.64</v>
      </c>
      <c r="O17" s="9"/>
      <c r="P17" s="10" t="str">
        <f aca="false">IF(O17="","",O17-N17)</f>
        <v/>
      </c>
    </row>
    <row r="18" customFormat="false" ht="15" hidden="false" customHeight="false" outlineLevel="0" collapsed="false">
      <c r="A18" s="7" t="n">
        <v>5761</v>
      </c>
      <c r="B18" s="7" t="s">
        <v>61</v>
      </c>
      <c r="C18" s="7" t="s">
        <v>135</v>
      </c>
      <c r="D18" s="7" t="s">
        <v>66</v>
      </c>
      <c r="E18" s="7" t="s">
        <v>67</v>
      </c>
      <c r="F18" s="7" t="s">
        <v>316</v>
      </c>
      <c r="G18" s="7" t="s">
        <v>295</v>
      </c>
      <c r="H18" s="7" t="s">
        <v>332</v>
      </c>
      <c r="I18" s="7" t="s">
        <v>333</v>
      </c>
      <c r="J18" s="22" t="n">
        <v>50.041</v>
      </c>
      <c r="K18" s="23"/>
      <c r="L18" s="24" t="str">
        <f aca="false">IF(K18="","",K18-J18)</f>
        <v/>
      </c>
      <c r="M18" s="22" t="n">
        <v>5.449</v>
      </c>
      <c r="N18" s="8" t="n">
        <v>272.67</v>
      </c>
      <c r="O18" s="9"/>
      <c r="P18" s="10" t="str">
        <f aca="false">IF(O18="","",O18-N18)</f>
        <v/>
      </c>
    </row>
    <row r="19" customFormat="false" ht="15" hidden="false" customHeight="false" outlineLevel="0" collapsed="false">
      <c r="A19" s="7" t="n">
        <v>5762</v>
      </c>
      <c r="B19" s="7" t="s">
        <v>61</v>
      </c>
      <c r="C19" s="7" t="s">
        <v>137</v>
      </c>
      <c r="D19" s="7" t="s">
        <v>68</v>
      </c>
      <c r="E19" s="7" t="s">
        <v>69</v>
      </c>
      <c r="F19" s="7" t="s">
        <v>324</v>
      </c>
      <c r="G19" s="7" t="s">
        <v>295</v>
      </c>
      <c r="H19" s="7" t="s">
        <v>334</v>
      </c>
      <c r="I19" s="7" t="s">
        <v>335</v>
      </c>
      <c r="J19" s="22" t="n">
        <v>121.001</v>
      </c>
      <c r="K19" s="23"/>
      <c r="L19" s="24" t="str">
        <f aca="false">IF(K19="","",K19-J19)</f>
        <v/>
      </c>
      <c r="M19" s="22" t="n">
        <v>5.389</v>
      </c>
      <c r="N19" s="8" t="n">
        <v>652.07</v>
      </c>
      <c r="O19" s="9"/>
      <c r="P19" s="10" t="str">
        <f aca="false">IF(O19="","",O19-N19)</f>
        <v/>
      </c>
    </row>
    <row r="20" customFormat="false" ht="15" hidden="false" customHeight="false" outlineLevel="0" collapsed="false">
      <c r="A20" s="7" t="n">
        <v>5762</v>
      </c>
      <c r="B20" s="7" t="s">
        <v>61</v>
      </c>
      <c r="C20" s="7" t="s">
        <v>137</v>
      </c>
      <c r="D20" s="7" t="s">
        <v>68</v>
      </c>
      <c r="E20" s="7" t="s">
        <v>69</v>
      </c>
      <c r="F20" s="7" t="s">
        <v>313</v>
      </c>
      <c r="G20" s="7" t="s">
        <v>295</v>
      </c>
      <c r="H20" s="7" t="s">
        <v>336</v>
      </c>
      <c r="I20" s="7" t="s">
        <v>337</v>
      </c>
      <c r="J20" s="22" t="n">
        <v>128.006</v>
      </c>
      <c r="K20" s="23"/>
      <c r="L20" s="24" t="str">
        <f aca="false">IF(K20="","",K20-J20)</f>
        <v/>
      </c>
      <c r="M20" s="22" t="n">
        <v>5.289</v>
      </c>
      <c r="N20" s="8" t="n">
        <v>677.02</v>
      </c>
      <c r="O20" s="9"/>
      <c r="P20" s="10" t="str">
        <f aca="false">IF(O20="","",O20-N20)</f>
        <v/>
      </c>
    </row>
    <row r="21" customFormat="false" ht="15" hidden="false" customHeight="false" outlineLevel="0" collapsed="false">
      <c r="A21" s="7" t="n">
        <v>5762</v>
      </c>
      <c r="B21" s="7" t="s">
        <v>61</v>
      </c>
      <c r="C21" s="7" t="s">
        <v>137</v>
      </c>
      <c r="D21" s="7" t="s">
        <v>68</v>
      </c>
      <c r="E21" s="7" t="s">
        <v>69</v>
      </c>
      <c r="F21" s="7" t="s">
        <v>329</v>
      </c>
      <c r="G21" s="7" t="s">
        <v>295</v>
      </c>
      <c r="H21" s="7" t="s">
        <v>338</v>
      </c>
      <c r="I21" s="7" t="s">
        <v>339</v>
      </c>
      <c r="J21" s="22" t="n">
        <v>118</v>
      </c>
      <c r="K21" s="23"/>
      <c r="L21" s="24" t="str">
        <f aca="false">IF(K21="","",K21-J21)</f>
        <v/>
      </c>
      <c r="M21" s="22" t="n">
        <v>5.089</v>
      </c>
      <c r="N21" s="8" t="n">
        <v>600.5</v>
      </c>
      <c r="O21" s="9"/>
      <c r="P21" s="10" t="str">
        <f aca="false">IF(O21="","",O21-N21)</f>
        <v/>
      </c>
    </row>
    <row r="22" customFormat="false" ht="15" hidden="false" customHeight="false" outlineLevel="0" collapsed="false">
      <c r="A22" s="7" t="n">
        <v>5762</v>
      </c>
      <c r="B22" s="7" t="s">
        <v>61</v>
      </c>
      <c r="C22" s="7" t="s">
        <v>139</v>
      </c>
      <c r="D22" s="7" t="s">
        <v>68</v>
      </c>
      <c r="E22" s="7" t="s">
        <v>69</v>
      </c>
      <c r="F22" s="7" t="s">
        <v>340</v>
      </c>
      <c r="G22" s="7" t="s">
        <v>295</v>
      </c>
      <c r="H22" s="7" t="s">
        <v>296</v>
      </c>
      <c r="I22" s="7" t="s">
        <v>341</v>
      </c>
      <c r="J22" s="22" t="n">
        <v>57.726</v>
      </c>
      <c r="K22" s="23"/>
      <c r="L22" s="24" t="str">
        <f aca="false">IF(K22="","",K22-J22)</f>
        <v/>
      </c>
      <c r="M22" s="22" t="n">
        <v>5.199</v>
      </c>
      <c r="N22" s="8" t="n">
        <v>300.12</v>
      </c>
      <c r="O22" s="9"/>
      <c r="P22" s="10" t="str">
        <f aca="false">IF(O22="","",O22-N22)</f>
        <v/>
      </c>
    </row>
    <row r="23" customFormat="false" ht="15" hidden="false" customHeight="false" outlineLevel="0" collapsed="false">
      <c r="A23" s="7" t="n">
        <v>5762</v>
      </c>
      <c r="B23" s="7" t="s">
        <v>61</v>
      </c>
      <c r="C23" s="7" t="s">
        <v>139</v>
      </c>
      <c r="D23" s="7" t="s">
        <v>68</v>
      </c>
      <c r="E23" s="7" t="s">
        <v>69</v>
      </c>
      <c r="F23" s="7" t="s">
        <v>319</v>
      </c>
      <c r="G23" s="7" t="s">
        <v>295</v>
      </c>
      <c r="H23" s="7" t="s">
        <v>296</v>
      </c>
      <c r="I23" s="7" t="s">
        <v>342</v>
      </c>
      <c r="J23" s="22" t="n">
        <v>28.867</v>
      </c>
      <c r="K23" s="23"/>
      <c r="L23" s="24" t="str">
        <f aca="false">IF(K23="","",K23-J23)</f>
        <v/>
      </c>
      <c r="M23" s="22" t="n">
        <v>5.199</v>
      </c>
      <c r="N23" s="8" t="n">
        <v>150.08</v>
      </c>
      <c r="O23" s="9"/>
      <c r="P23" s="10" t="str">
        <f aca="false">IF(O23="","",O23-N23)</f>
        <v/>
      </c>
    </row>
    <row r="24" customFormat="false" ht="15" hidden="false" customHeight="false" outlineLevel="0" collapsed="false">
      <c r="A24" s="7" t="n">
        <v>5762</v>
      </c>
      <c r="B24" s="7" t="s">
        <v>61</v>
      </c>
      <c r="C24" s="7" t="s">
        <v>139</v>
      </c>
      <c r="D24" s="7" t="s">
        <v>68</v>
      </c>
      <c r="E24" s="7" t="s">
        <v>69</v>
      </c>
      <c r="F24" s="7" t="s">
        <v>319</v>
      </c>
      <c r="G24" s="7" t="s">
        <v>295</v>
      </c>
      <c r="H24" s="7" t="s">
        <v>343</v>
      </c>
      <c r="I24" s="7" t="s">
        <v>344</v>
      </c>
      <c r="J24" s="22" t="n">
        <v>87.678</v>
      </c>
      <c r="K24" s="23"/>
      <c r="L24" s="24" t="str">
        <f aca="false">IF(K24="","",K24-J24)</f>
        <v/>
      </c>
      <c r="M24" s="22" t="n">
        <v>5.199</v>
      </c>
      <c r="N24" s="8" t="n">
        <v>455.84</v>
      </c>
      <c r="O24" s="9"/>
      <c r="P24" s="10" t="str">
        <f aca="false">IF(O24="","",O24-N24)</f>
        <v/>
      </c>
    </row>
    <row r="25" customFormat="false" ht="15" hidden="false" customHeight="false" outlineLevel="0" collapsed="false">
      <c r="A25" s="7" t="n">
        <v>5762</v>
      </c>
      <c r="B25" s="7" t="s">
        <v>61</v>
      </c>
      <c r="C25" s="7" t="s">
        <v>139</v>
      </c>
      <c r="D25" s="7" t="s">
        <v>68</v>
      </c>
      <c r="E25" s="7" t="s">
        <v>69</v>
      </c>
      <c r="F25" s="7" t="s">
        <v>319</v>
      </c>
      <c r="G25" s="7" t="s">
        <v>295</v>
      </c>
      <c r="H25" s="7" t="s">
        <v>345</v>
      </c>
      <c r="I25" s="7" t="s">
        <v>346</v>
      </c>
      <c r="J25" s="22" t="n">
        <v>82.999</v>
      </c>
      <c r="K25" s="23"/>
      <c r="L25" s="24" t="str">
        <f aca="false">IF(K25="","",K25-J25)</f>
        <v/>
      </c>
      <c r="M25" s="22" t="n">
        <v>5.079</v>
      </c>
      <c r="N25" s="8" t="n">
        <v>421.55</v>
      </c>
      <c r="O25" s="9"/>
      <c r="P25" s="10" t="str">
        <f aca="false">IF(O25="","",O25-N25)</f>
        <v/>
      </c>
    </row>
    <row r="26" customFormat="false" ht="15" hidden="false" customHeight="false" outlineLevel="0" collapsed="false">
      <c r="A26" s="7" t="n">
        <v>5762</v>
      </c>
      <c r="B26" s="7" t="s">
        <v>61</v>
      </c>
      <c r="C26" s="7" t="s">
        <v>139</v>
      </c>
      <c r="D26" s="7" t="s">
        <v>68</v>
      </c>
      <c r="E26" s="7" t="s">
        <v>69</v>
      </c>
      <c r="F26" s="7" t="s">
        <v>310</v>
      </c>
      <c r="G26" s="7" t="s">
        <v>295</v>
      </c>
      <c r="H26" s="7" t="s">
        <v>347</v>
      </c>
      <c r="I26" s="7" t="s">
        <v>348</v>
      </c>
      <c r="J26" s="22" t="n">
        <v>180.045</v>
      </c>
      <c r="K26" s="23"/>
      <c r="L26" s="24" t="str">
        <f aca="false">IF(K26="","",K26-J26)</f>
        <v/>
      </c>
      <c r="M26" s="22" t="n">
        <v>5.349</v>
      </c>
      <c r="N26" s="8" t="n">
        <v>963.06</v>
      </c>
      <c r="O26" s="9"/>
      <c r="P26" s="10" t="str">
        <f aca="false">IF(O26="","",O26-N26)</f>
        <v/>
      </c>
    </row>
    <row r="27" customFormat="false" ht="15" hidden="false" customHeight="false" outlineLevel="0" collapsed="false">
      <c r="A27" s="7" t="n">
        <v>5763</v>
      </c>
      <c r="B27" s="7" t="s">
        <v>61</v>
      </c>
      <c r="C27" s="7" t="s">
        <v>141</v>
      </c>
      <c r="D27" s="7" t="s">
        <v>70</v>
      </c>
      <c r="E27" s="7" t="s">
        <v>71</v>
      </c>
      <c r="F27" s="7" t="s">
        <v>324</v>
      </c>
      <c r="G27" s="7" t="s">
        <v>295</v>
      </c>
      <c r="H27" s="7" t="s">
        <v>349</v>
      </c>
      <c r="I27" s="7" t="s">
        <v>350</v>
      </c>
      <c r="J27" s="22" t="n">
        <v>142.679</v>
      </c>
      <c r="K27" s="23"/>
      <c r="L27" s="24" t="str">
        <f aca="false">IF(K27="","",K27-J27)</f>
        <v/>
      </c>
      <c r="M27" s="22" t="n">
        <v>5.289</v>
      </c>
      <c r="N27" s="8" t="n">
        <v>754.63</v>
      </c>
      <c r="O27" s="9"/>
      <c r="P27" s="10" t="str">
        <f aca="false">IF(O27="","",O27-N27)</f>
        <v/>
      </c>
    </row>
    <row r="28" customFormat="false" ht="15" hidden="false" customHeight="false" outlineLevel="0" collapsed="false">
      <c r="A28" s="7" t="n">
        <v>5763</v>
      </c>
      <c r="B28" s="7" t="s">
        <v>61</v>
      </c>
      <c r="C28" s="7" t="s">
        <v>141</v>
      </c>
      <c r="D28" s="7" t="s">
        <v>70</v>
      </c>
      <c r="E28" s="7" t="s">
        <v>71</v>
      </c>
      <c r="F28" s="7" t="s">
        <v>313</v>
      </c>
      <c r="G28" s="7" t="s">
        <v>295</v>
      </c>
      <c r="H28" s="7" t="s">
        <v>351</v>
      </c>
      <c r="I28" s="7" t="s">
        <v>352</v>
      </c>
      <c r="J28" s="22" t="n">
        <v>133.559</v>
      </c>
      <c r="K28" s="23"/>
      <c r="L28" s="24" t="str">
        <f aca="false">IF(K28="","",K28-J28)</f>
        <v/>
      </c>
      <c r="M28" s="22" t="n">
        <v>5.299</v>
      </c>
      <c r="N28" s="8" t="n">
        <v>707.73</v>
      </c>
      <c r="O28" s="9"/>
      <c r="P28" s="10" t="str">
        <f aca="false">IF(O28="","",O28-N28)</f>
        <v/>
      </c>
    </row>
    <row r="29" customFormat="false" ht="15" hidden="false" customHeight="false" outlineLevel="0" collapsed="false">
      <c r="A29" s="7" t="n">
        <v>5763</v>
      </c>
      <c r="B29" s="7" t="s">
        <v>61</v>
      </c>
      <c r="C29" s="7" t="s">
        <v>144</v>
      </c>
      <c r="D29" s="7" t="s">
        <v>70</v>
      </c>
      <c r="E29" s="7" t="s">
        <v>71</v>
      </c>
      <c r="F29" s="7" t="s">
        <v>319</v>
      </c>
      <c r="G29" s="7" t="s">
        <v>295</v>
      </c>
      <c r="H29" s="7" t="s">
        <v>296</v>
      </c>
      <c r="I29" s="7" t="s">
        <v>353</v>
      </c>
      <c r="J29" s="22" t="n">
        <v>196.176</v>
      </c>
      <c r="K29" s="23"/>
      <c r="L29" s="24" t="str">
        <f aca="false">IF(K29="","",K29-J29)</f>
        <v/>
      </c>
      <c r="M29" s="22" t="n">
        <v>5.199</v>
      </c>
      <c r="N29" s="8" t="n">
        <v>1019.92</v>
      </c>
      <c r="O29" s="9"/>
      <c r="P29" s="10" t="str">
        <f aca="false">IF(O29="","",O29-N29)</f>
        <v/>
      </c>
    </row>
    <row r="30" customFormat="false" ht="15" hidden="false" customHeight="false" outlineLevel="0" collapsed="false">
      <c r="A30" s="7" t="n">
        <v>5764</v>
      </c>
      <c r="B30" s="7" t="s">
        <v>61</v>
      </c>
      <c r="C30" s="7" t="s">
        <v>146</v>
      </c>
      <c r="D30" s="7" t="s">
        <v>72</v>
      </c>
      <c r="E30" s="7" t="s">
        <v>84</v>
      </c>
      <c r="F30" s="7" t="s">
        <v>319</v>
      </c>
      <c r="G30" s="7" t="s">
        <v>295</v>
      </c>
      <c r="H30" s="7" t="s">
        <v>296</v>
      </c>
      <c r="I30" s="7" t="s">
        <v>354</v>
      </c>
      <c r="J30" s="22" t="n">
        <v>164.828</v>
      </c>
      <c r="K30" s="23"/>
      <c r="L30" s="24" t="str">
        <f aca="false">IF(K30="","",K30-J30)</f>
        <v/>
      </c>
      <c r="M30" s="22" t="n">
        <v>5.199</v>
      </c>
      <c r="N30" s="8" t="n">
        <v>856.94</v>
      </c>
      <c r="O30" s="9"/>
      <c r="P30" s="10" t="str">
        <f aca="false">IF(O30="","",O30-N30)</f>
        <v/>
      </c>
    </row>
    <row r="31" customFormat="false" ht="15" hidden="false" customHeight="false" outlineLevel="0" collapsed="false">
      <c r="A31" s="7" t="n">
        <v>5764</v>
      </c>
      <c r="B31" s="7" t="s">
        <v>61</v>
      </c>
      <c r="C31" s="7" t="s">
        <v>146</v>
      </c>
      <c r="D31" s="7" t="s">
        <v>72</v>
      </c>
      <c r="E31" s="7" t="s">
        <v>84</v>
      </c>
      <c r="F31" s="7" t="s">
        <v>310</v>
      </c>
      <c r="G31" s="7" t="s">
        <v>295</v>
      </c>
      <c r="H31" s="7" t="s">
        <v>355</v>
      </c>
      <c r="I31" s="7" t="s">
        <v>356</v>
      </c>
      <c r="J31" s="22" t="n">
        <v>100.033</v>
      </c>
      <c r="K31" s="23"/>
      <c r="L31" s="24" t="str">
        <f aca="false">IF(K31="","",K31-J31)</f>
        <v/>
      </c>
      <c r="M31" s="22" t="n">
        <v>5.289</v>
      </c>
      <c r="N31" s="8" t="n">
        <v>529.07</v>
      </c>
      <c r="O31" s="9"/>
      <c r="P31" s="10" t="str">
        <f aca="false">IF(O31="","",O31-N31)</f>
        <v/>
      </c>
    </row>
    <row r="32" customFormat="false" ht="15" hidden="false" customHeight="false" outlineLevel="0" collapsed="false">
      <c r="A32" s="7" t="n">
        <v>5764</v>
      </c>
      <c r="B32" s="7" t="s">
        <v>61</v>
      </c>
      <c r="C32" s="7" t="s">
        <v>146</v>
      </c>
      <c r="D32" s="7" t="s">
        <v>72</v>
      </c>
      <c r="E32" s="7" t="s">
        <v>84</v>
      </c>
      <c r="F32" s="7" t="s">
        <v>324</v>
      </c>
      <c r="G32" s="7" t="s">
        <v>295</v>
      </c>
      <c r="H32" s="7" t="s">
        <v>299</v>
      </c>
      <c r="I32" s="7" t="s">
        <v>357</v>
      </c>
      <c r="J32" s="22" t="n">
        <v>106.031</v>
      </c>
      <c r="K32" s="23"/>
      <c r="L32" s="24" t="str">
        <f aca="false">IF(K32="","",K32-J32)</f>
        <v/>
      </c>
      <c r="M32" s="22" t="n">
        <v>5.719</v>
      </c>
      <c r="N32" s="8" t="n">
        <v>606.39</v>
      </c>
      <c r="O32" s="9"/>
      <c r="P32" s="10" t="str">
        <f aca="false">IF(O32="","",O32-N32)</f>
        <v/>
      </c>
    </row>
    <row r="33" customFormat="false" ht="15" hidden="false" customHeight="false" outlineLevel="0" collapsed="false">
      <c r="A33" s="7" t="n">
        <v>5764</v>
      </c>
      <c r="B33" s="7" t="s">
        <v>61</v>
      </c>
      <c r="C33" s="7" t="s">
        <v>147</v>
      </c>
      <c r="D33" s="7" t="s">
        <v>72</v>
      </c>
      <c r="E33" s="7" t="s">
        <v>93</v>
      </c>
      <c r="F33" s="7" t="s">
        <v>358</v>
      </c>
      <c r="G33" s="7" t="s">
        <v>295</v>
      </c>
      <c r="H33" s="7" t="s">
        <v>359</v>
      </c>
      <c r="I33" s="7" t="s">
        <v>360</v>
      </c>
      <c r="J33" s="22" t="n">
        <v>198</v>
      </c>
      <c r="K33" s="23"/>
      <c r="L33" s="24" t="str">
        <f aca="false">IF(K33="","",K33-J33)</f>
        <v/>
      </c>
      <c r="M33" s="22" t="n">
        <v>5.689</v>
      </c>
      <c r="N33" s="8" t="n">
        <v>1126.42</v>
      </c>
      <c r="O33" s="9"/>
      <c r="P33" s="10" t="str">
        <f aca="false">IF(O33="","",O33-N33)</f>
        <v/>
      </c>
    </row>
    <row r="34" customFormat="false" ht="15" hidden="false" customHeight="false" outlineLevel="0" collapsed="false">
      <c r="A34" s="7" t="n">
        <v>5764</v>
      </c>
      <c r="B34" s="7" t="s">
        <v>61</v>
      </c>
      <c r="C34" s="7" t="s">
        <v>147</v>
      </c>
      <c r="D34" s="7" t="s">
        <v>72</v>
      </c>
      <c r="E34" s="7" t="s">
        <v>93</v>
      </c>
      <c r="F34" s="7" t="s">
        <v>329</v>
      </c>
      <c r="G34" s="7" t="s">
        <v>295</v>
      </c>
      <c r="H34" s="7" t="s">
        <v>361</v>
      </c>
      <c r="I34" s="7" t="s">
        <v>362</v>
      </c>
      <c r="J34" s="22" t="n">
        <v>123.512</v>
      </c>
      <c r="K34" s="23"/>
      <c r="L34" s="24" t="str">
        <f aca="false">IF(K34="","",K34-J34)</f>
        <v/>
      </c>
      <c r="M34" s="22" t="n">
        <v>5.349</v>
      </c>
      <c r="N34" s="8" t="n">
        <v>660.67</v>
      </c>
      <c r="O34" s="9"/>
      <c r="P34" s="10" t="str">
        <f aca="false">IF(O34="","",O34-N34)</f>
        <v/>
      </c>
    </row>
    <row r="35" customFormat="false" ht="15" hidden="false" customHeight="false" outlineLevel="0" collapsed="false">
      <c r="A35" s="7" t="n">
        <v>5765</v>
      </c>
      <c r="B35" s="7" t="s">
        <v>61</v>
      </c>
      <c r="C35" s="7" t="s">
        <v>150</v>
      </c>
      <c r="D35" s="7" t="s">
        <v>62</v>
      </c>
      <c r="E35" s="7" t="s">
        <v>74</v>
      </c>
      <c r="F35" s="7" t="s">
        <v>358</v>
      </c>
      <c r="G35" s="7" t="s">
        <v>295</v>
      </c>
      <c r="H35" s="7" t="s">
        <v>299</v>
      </c>
      <c r="I35" s="7" t="s">
        <v>363</v>
      </c>
      <c r="J35" s="22" t="n">
        <v>198</v>
      </c>
      <c r="K35" s="23"/>
      <c r="L35" s="24" t="str">
        <f aca="false">IF(K35="","",K35-J35)</f>
        <v/>
      </c>
      <c r="M35" s="22" t="n">
        <v>5.689</v>
      </c>
      <c r="N35" s="8" t="n">
        <v>1126.42</v>
      </c>
      <c r="O35" s="9"/>
      <c r="P35" s="10" t="str">
        <f aca="false">IF(O35="","",O35-N35)</f>
        <v/>
      </c>
    </row>
    <row r="36" customFormat="false" ht="15" hidden="false" customHeight="false" outlineLevel="0" collapsed="false">
      <c r="A36" s="7" t="n">
        <v>5765</v>
      </c>
      <c r="B36" s="7" t="s">
        <v>61</v>
      </c>
      <c r="C36" s="7" t="s">
        <v>150</v>
      </c>
      <c r="D36" s="7" t="s">
        <v>62</v>
      </c>
      <c r="E36" s="7" t="s">
        <v>74</v>
      </c>
      <c r="F36" s="7" t="s">
        <v>329</v>
      </c>
      <c r="G36" s="7" t="s">
        <v>295</v>
      </c>
      <c r="H36" s="7" t="s">
        <v>364</v>
      </c>
      <c r="I36" s="7" t="s">
        <v>365</v>
      </c>
      <c r="J36" s="22" t="n">
        <v>115.027</v>
      </c>
      <c r="K36" s="23"/>
      <c r="L36" s="24" t="str">
        <f aca="false">IF(K36="","",K36-J36)</f>
        <v/>
      </c>
      <c r="M36" s="22" t="n">
        <v>5.349</v>
      </c>
      <c r="N36" s="8" t="n">
        <v>615.28</v>
      </c>
      <c r="O36" s="9"/>
      <c r="P36" s="10" t="str">
        <f aca="false">IF(O36="","",O36-N36)</f>
        <v/>
      </c>
    </row>
    <row r="37" customFormat="false" ht="15" hidden="false" customHeight="false" outlineLevel="0" collapsed="false">
      <c r="A37" s="7" t="n">
        <v>5765</v>
      </c>
      <c r="B37" s="7" t="s">
        <v>61</v>
      </c>
      <c r="C37" s="7" t="s">
        <v>151</v>
      </c>
      <c r="D37" s="7" t="s">
        <v>62</v>
      </c>
      <c r="E37" s="7" t="s">
        <v>74</v>
      </c>
      <c r="F37" s="7" t="s">
        <v>319</v>
      </c>
      <c r="G37" s="7" t="s">
        <v>295</v>
      </c>
      <c r="H37" s="7" t="s">
        <v>366</v>
      </c>
      <c r="I37" s="7" t="s">
        <v>367</v>
      </c>
      <c r="J37" s="22" t="n">
        <v>127.912</v>
      </c>
      <c r="K37" s="23"/>
      <c r="L37" s="24" t="str">
        <f aca="false">IF(K37="","",K37-J37)</f>
        <v/>
      </c>
      <c r="M37" s="22" t="n">
        <v>5.199</v>
      </c>
      <c r="N37" s="8" t="n">
        <v>665.01</v>
      </c>
      <c r="O37" s="9"/>
      <c r="P37" s="10" t="str">
        <f aca="false">IF(O37="","",O37-N37)</f>
        <v/>
      </c>
    </row>
    <row r="38" customFormat="false" ht="15" hidden="false" customHeight="false" outlineLevel="0" collapsed="false">
      <c r="A38" s="7" t="n">
        <v>5765</v>
      </c>
      <c r="B38" s="7" t="s">
        <v>61</v>
      </c>
      <c r="C38" s="7" t="s">
        <v>151</v>
      </c>
      <c r="D38" s="7" t="s">
        <v>62</v>
      </c>
      <c r="E38" s="7" t="s">
        <v>74</v>
      </c>
      <c r="F38" s="7" t="s">
        <v>324</v>
      </c>
      <c r="G38" s="7" t="s">
        <v>295</v>
      </c>
      <c r="H38" s="7" t="s">
        <v>368</v>
      </c>
      <c r="I38" s="7" t="s">
        <v>369</v>
      </c>
      <c r="J38" s="22" t="n">
        <v>93.349</v>
      </c>
      <c r="K38" s="23"/>
      <c r="L38" s="24" t="str">
        <f aca="false">IF(K38="","",K38-J38)</f>
        <v/>
      </c>
      <c r="M38" s="22" t="n">
        <v>5.719</v>
      </c>
      <c r="N38" s="8" t="n">
        <v>533.86</v>
      </c>
      <c r="O38" s="9"/>
      <c r="P38" s="10" t="str">
        <f aca="false">IF(O38="","",O38-N38)</f>
        <v/>
      </c>
    </row>
    <row r="39" customFormat="false" ht="15" hidden="false" customHeight="false" outlineLevel="0" collapsed="false">
      <c r="A39" s="7" t="n">
        <v>5765</v>
      </c>
      <c r="B39" s="7" t="s">
        <v>61</v>
      </c>
      <c r="C39" s="7" t="s">
        <v>151</v>
      </c>
      <c r="D39" s="7" t="s">
        <v>62</v>
      </c>
      <c r="E39" s="7" t="s">
        <v>74</v>
      </c>
      <c r="F39" s="7" t="s">
        <v>324</v>
      </c>
      <c r="G39" s="7" t="s">
        <v>295</v>
      </c>
      <c r="H39" s="7" t="s">
        <v>299</v>
      </c>
      <c r="I39" s="7" t="s">
        <v>370</v>
      </c>
      <c r="J39" s="22" t="n">
        <v>15.999</v>
      </c>
      <c r="K39" s="23"/>
      <c r="L39" s="24" t="str">
        <f aca="false">IF(K39="","",K39-J39)</f>
        <v/>
      </c>
      <c r="M39" s="22" t="n">
        <v>5.719</v>
      </c>
      <c r="N39" s="8" t="n">
        <v>91.5</v>
      </c>
      <c r="O39" s="9"/>
      <c r="P39" s="10" t="str">
        <f aca="false">IF(O39="","",O39-N39)</f>
        <v/>
      </c>
    </row>
    <row r="40" customFormat="false" ht="15" hidden="false" customHeight="false" outlineLevel="0" collapsed="false">
      <c r="A40" s="7" t="n">
        <v>5766</v>
      </c>
      <c r="B40" s="7" t="s">
        <v>75</v>
      </c>
      <c r="C40" s="7" t="s">
        <v>152</v>
      </c>
      <c r="D40" s="7" t="s">
        <v>76</v>
      </c>
      <c r="E40" s="7" t="s">
        <v>77</v>
      </c>
      <c r="F40" s="7" t="s">
        <v>316</v>
      </c>
      <c r="G40" s="7" t="s">
        <v>295</v>
      </c>
      <c r="H40" s="7" t="s">
        <v>296</v>
      </c>
      <c r="I40" s="7" t="s">
        <v>371</v>
      </c>
      <c r="J40" s="22" t="n">
        <v>74.845</v>
      </c>
      <c r="K40" s="23"/>
      <c r="L40" s="24" t="str">
        <f aca="false">IF(K40="","",K40-J40)</f>
        <v/>
      </c>
      <c r="M40" s="22" t="n">
        <v>5.349</v>
      </c>
      <c r="N40" s="8" t="n">
        <v>400.35</v>
      </c>
      <c r="O40" s="9"/>
      <c r="P40" s="10" t="str">
        <f aca="false">IF(O40="","",O40-N40)</f>
        <v/>
      </c>
    </row>
    <row r="41" customFormat="false" ht="15" hidden="false" customHeight="false" outlineLevel="0" collapsed="false">
      <c r="A41" s="7" t="n">
        <v>5766</v>
      </c>
      <c r="B41" s="7" t="s">
        <v>75</v>
      </c>
      <c r="C41" s="7" t="s">
        <v>152</v>
      </c>
      <c r="D41" s="7" t="s">
        <v>76</v>
      </c>
      <c r="E41" s="7" t="s">
        <v>77</v>
      </c>
      <c r="F41" s="7" t="s">
        <v>372</v>
      </c>
      <c r="G41" s="7" t="s">
        <v>295</v>
      </c>
      <c r="H41" s="7" t="s">
        <v>373</v>
      </c>
      <c r="I41" s="7" t="s">
        <v>374</v>
      </c>
      <c r="J41" s="22" t="n">
        <v>47.403</v>
      </c>
      <c r="K41" s="23"/>
      <c r="L41" s="24" t="str">
        <f aca="false">IF(K41="","",K41-J41)</f>
        <v/>
      </c>
      <c r="M41" s="22" t="n">
        <v>5.489</v>
      </c>
      <c r="N41" s="8" t="n">
        <v>260.2</v>
      </c>
      <c r="O41" s="9"/>
      <c r="P41" s="10" t="str">
        <f aca="false">IF(O41="","",O41-N41)</f>
        <v/>
      </c>
    </row>
    <row r="42" customFormat="false" ht="15" hidden="false" customHeight="false" outlineLevel="0" collapsed="false">
      <c r="A42" s="7" t="n">
        <v>5767</v>
      </c>
      <c r="B42" s="7" t="s">
        <v>61</v>
      </c>
      <c r="C42" s="7" t="s">
        <v>156</v>
      </c>
      <c r="D42" s="7" t="s">
        <v>78</v>
      </c>
      <c r="E42" s="7" t="s">
        <v>79</v>
      </c>
      <c r="F42" s="7" t="s">
        <v>358</v>
      </c>
      <c r="G42" s="7" t="s">
        <v>295</v>
      </c>
      <c r="H42" s="7" t="s">
        <v>296</v>
      </c>
      <c r="I42" s="7" t="s">
        <v>375</v>
      </c>
      <c r="J42" s="22" t="n">
        <v>180.065</v>
      </c>
      <c r="K42" s="23"/>
      <c r="L42" s="24" t="str">
        <f aca="false">IF(K42="","",K42-J42)</f>
        <v/>
      </c>
      <c r="M42" s="22" t="n">
        <v>5.389</v>
      </c>
      <c r="N42" s="8" t="n">
        <v>970.37</v>
      </c>
      <c r="O42" s="9"/>
      <c r="P42" s="10" t="str">
        <f aca="false">IF(O42="","",O42-N42)</f>
        <v/>
      </c>
    </row>
    <row r="43" customFormat="false" ht="15" hidden="false" customHeight="false" outlineLevel="0" collapsed="false">
      <c r="A43" s="7" t="n">
        <v>5767</v>
      </c>
      <c r="B43" s="7" t="s">
        <v>61</v>
      </c>
      <c r="C43" s="7" t="s">
        <v>156</v>
      </c>
      <c r="D43" s="7" t="s">
        <v>78</v>
      </c>
      <c r="E43" s="7" t="s">
        <v>79</v>
      </c>
      <c r="F43" s="7" t="s">
        <v>329</v>
      </c>
      <c r="G43" s="7" t="s">
        <v>295</v>
      </c>
      <c r="H43" s="7" t="s">
        <v>376</v>
      </c>
      <c r="I43" s="7" t="s">
        <v>377</v>
      </c>
      <c r="J43" s="22" t="n">
        <v>98.092</v>
      </c>
      <c r="K43" s="23"/>
      <c r="L43" s="24" t="str">
        <f aca="false">IF(K43="","",K43-J43)</f>
        <v/>
      </c>
      <c r="M43" s="22" t="n">
        <v>5.349</v>
      </c>
      <c r="N43" s="8" t="n">
        <v>524.69</v>
      </c>
      <c r="O43" s="9"/>
      <c r="P43" s="10" t="str">
        <f aca="false">IF(O43="","",O43-N43)</f>
        <v/>
      </c>
    </row>
    <row r="44" customFormat="false" ht="15" hidden="false" customHeight="false" outlineLevel="0" collapsed="false">
      <c r="A44" s="7" t="n">
        <v>5767</v>
      </c>
      <c r="B44" s="7" t="s">
        <v>61</v>
      </c>
      <c r="C44" s="7" t="s">
        <v>156</v>
      </c>
      <c r="D44" s="7" t="s">
        <v>78</v>
      </c>
      <c r="E44" s="7" t="s">
        <v>79</v>
      </c>
      <c r="F44" s="7" t="s">
        <v>316</v>
      </c>
      <c r="G44" s="7" t="s">
        <v>295</v>
      </c>
      <c r="H44" s="7" t="s">
        <v>378</v>
      </c>
      <c r="I44" s="7" t="s">
        <v>379</v>
      </c>
      <c r="J44" s="22" t="n">
        <v>76.143</v>
      </c>
      <c r="K44" s="23"/>
      <c r="L44" s="24" t="str">
        <f aca="false">IF(K44="","",K44-J44)</f>
        <v/>
      </c>
      <c r="M44" s="22" t="n">
        <v>5.389</v>
      </c>
      <c r="N44" s="8" t="n">
        <v>410.33</v>
      </c>
      <c r="O44" s="9"/>
      <c r="P44" s="10" t="str">
        <f aca="false">IF(O44="","",O44-N44)</f>
        <v/>
      </c>
    </row>
    <row r="45" customFormat="false" ht="15" hidden="false" customHeight="false" outlineLevel="0" collapsed="false">
      <c r="A45" s="7" t="n">
        <v>5767</v>
      </c>
      <c r="B45" s="7" t="s">
        <v>61</v>
      </c>
      <c r="C45" s="7" t="s">
        <v>157</v>
      </c>
      <c r="D45" s="7" t="s">
        <v>78</v>
      </c>
      <c r="E45" s="7" t="s">
        <v>79</v>
      </c>
      <c r="F45" s="7" t="s">
        <v>372</v>
      </c>
      <c r="G45" s="7" t="s">
        <v>295</v>
      </c>
      <c r="H45" s="7" t="s">
        <v>380</v>
      </c>
      <c r="I45" s="7" t="s">
        <v>381</v>
      </c>
      <c r="J45" s="22" t="n">
        <v>94.431</v>
      </c>
      <c r="K45" s="23"/>
      <c r="L45" s="24" t="str">
        <f aca="false">IF(K45="","",K45-J45)</f>
        <v/>
      </c>
      <c r="M45" s="22" t="n">
        <v>5.189</v>
      </c>
      <c r="N45" s="8" t="n">
        <v>490</v>
      </c>
      <c r="O45" s="9"/>
      <c r="P45" s="10" t="str">
        <f aca="false">IF(O45="","",O45-N45)</f>
        <v/>
      </c>
    </row>
    <row r="46" customFormat="false" ht="15" hidden="false" customHeight="false" outlineLevel="0" collapsed="false">
      <c r="A46" s="7" t="n">
        <v>5767</v>
      </c>
      <c r="B46" s="7" t="s">
        <v>61</v>
      </c>
      <c r="C46" s="7" t="s">
        <v>157</v>
      </c>
      <c r="D46" s="7" t="s">
        <v>78</v>
      </c>
      <c r="E46" s="7" t="s">
        <v>79</v>
      </c>
      <c r="F46" s="7" t="s">
        <v>382</v>
      </c>
      <c r="G46" s="7" t="s">
        <v>295</v>
      </c>
      <c r="H46" s="7" t="s">
        <v>383</v>
      </c>
      <c r="I46" s="7" t="s">
        <v>384</v>
      </c>
      <c r="J46" s="22" t="n">
        <v>52.617</v>
      </c>
      <c r="K46" s="23"/>
      <c r="L46" s="24" t="str">
        <f aca="false">IF(K46="","",K46-J46)</f>
        <v/>
      </c>
      <c r="M46" s="22" t="n">
        <v>5.289</v>
      </c>
      <c r="N46" s="8" t="n">
        <v>278.29</v>
      </c>
      <c r="O46" s="9"/>
      <c r="P46" s="10" t="str">
        <f aca="false">IF(O46="","",O46-N46)</f>
        <v/>
      </c>
    </row>
    <row r="47" customFormat="false" ht="15" hidden="false" customHeight="false" outlineLevel="0" collapsed="false">
      <c r="A47" s="7" t="n">
        <v>5768</v>
      </c>
      <c r="B47" s="7" t="s">
        <v>61</v>
      </c>
      <c r="C47" s="7" t="s">
        <v>160</v>
      </c>
      <c r="D47" s="7" t="s">
        <v>80</v>
      </c>
      <c r="E47" s="7" t="s">
        <v>81</v>
      </c>
      <c r="F47" s="7" t="s">
        <v>358</v>
      </c>
      <c r="G47" s="7" t="s">
        <v>295</v>
      </c>
      <c r="H47" s="7" t="s">
        <v>385</v>
      </c>
      <c r="I47" s="7" t="s">
        <v>386</v>
      </c>
      <c r="J47" s="22" t="n">
        <v>113.106</v>
      </c>
      <c r="K47" s="23"/>
      <c r="L47" s="24" t="str">
        <f aca="false">IF(K47="","",K47-J47)</f>
        <v/>
      </c>
      <c r="M47" s="22" t="n">
        <v>5.349</v>
      </c>
      <c r="N47" s="8" t="n">
        <v>605</v>
      </c>
      <c r="O47" s="9"/>
      <c r="P47" s="10" t="str">
        <f aca="false">IF(O47="","",O47-N47)</f>
        <v/>
      </c>
    </row>
    <row r="48" customFormat="false" ht="15" hidden="false" customHeight="false" outlineLevel="0" collapsed="false">
      <c r="A48" s="7" t="n">
        <v>5768</v>
      </c>
      <c r="B48" s="7" t="s">
        <v>61</v>
      </c>
      <c r="C48" s="7" t="s">
        <v>160</v>
      </c>
      <c r="D48" s="7" t="s">
        <v>80</v>
      </c>
      <c r="E48" s="7" t="s">
        <v>81</v>
      </c>
      <c r="F48" s="7" t="s">
        <v>329</v>
      </c>
      <c r="G48" s="7" t="s">
        <v>295</v>
      </c>
      <c r="H48" s="7" t="s">
        <v>387</v>
      </c>
      <c r="I48" s="7" t="s">
        <v>388</v>
      </c>
      <c r="J48" s="22" t="n">
        <v>55.53</v>
      </c>
      <c r="K48" s="23"/>
      <c r="L48" s="24" t="str">
        <f aca="false">IF(K48="","",K48-J48)</f>
        <v/>
      </c>
      <c r="M48" s="22" t="n">
        <v>5.389</v>
      </c>
      <c r="N48" s="8" t="n">
        <v>299.25</v>
      </c>
      <c r="O48" s="9"/>
      <c r="P48" s="10" t="str">
        <f aca="false">IF(O48="","",O48-N48)</f>
        <v/>
      </c>
    </row>
    <row r="49" customFormat="false" ht="15" hidden="false" customHeight="false" outlineLevel="0" collapsed="false">
      <c r="A49" s="7" t="n">
        <v>5768</v>
      </c>
      <c r="B49" s="7" t="s">
        <v>61</v>
      </c>
      <c r="C49" s="7" t="s">
        <v>160</v>
      </c>
      <c r="D49" s="7" t="s">
        <v>80</v>
      </c>
      <c r="E49" s="7" t="s">
        <v>81</v>
      </c>
      <c r="F49" s="7" t="s">
        <v>316</v>
      </c>
      <c r="G49" s="7" t="s">
        <v>295</v>
      </c>
      <c r="H49" s="7" t="s">
        <v>389</v>
      </c>
      <c r="I49" s="7" t="s">
        <v>390</v>
      </c>
      <c r="J49" s="22" t="n">
        <v>165.39</v>
      </c>
      <c r="K49" s="23"/>
      <c r="L49" s="24" t="str">
        <f aca="false">IF(K49="","",K49-J49)</f>
        <v/>
      </c>
      <c r="M49" s="22" t="n">
        <v>5.549</v>
      </c>
      <c r="N49" s="8" t="n">
        <v>917.75</v>
      </c>
      <c r="O49" s="9"/>
      <c r="P49" s="10" t="str">
        <f aca="false">IF(O49="","",O49-N49)</f>
        <v/>
      </c>
    </row>
    <row r="50" customFormat="false" ht="15" hidden="false" customHeight="false" outlineLevel="0" collapsed="false">
      <c r="A50" s="7" t="n">
        <v>5768</v>
      </c>
      <c r="B50" s="7" t="s">
        <v>61</v>
      </c>
      <c r="C50" s="7" t="s">
        <v>162</v>
      </c>
      <c r="D50" s="7" t="s">
        <v>80</v>
      </c>
      <c r="E50" s="7" t="s">
        <v>81</v>
      </c>
      <c r="F50" s="7" t="s">
        <v>372</v>
      </c>
      <c r="G50" s="7" t="s">
        <v>295</v>
      </c>
      <c r="H50" s="7" t="s">
        <v>334</v>
      </c>
      <c r="I50" s="7" t="s">
        <v>391</v>
      </c>
      <c r="J50" s="22" t="n">
        <v>50.243</v>
      </c>
      <c r="K50" s="23"/>
      <c r="L50" s="24" t="str">
        <f aca="false">IF(K50="","",K50-J50)</f>
        <v/>
      </c>
      <c r="M50" s="22" t="n">
        <v>5.489</v>
      </c>
      <c r="N50" s="8" t="n">
        <v>275.78</v>
      </c>
      <c r="O50" s="9"/>
      <c r="P50" s="10" t="str">
        <f aca="false">IF(O50="","",O50-N50)</f>
        <v/>
      </c>
    </row>
    <row r="51" customFormat="false" ht="15" hidden="false" customHeight="false" outlineLevel="0" collapsed="false">
      <c r="A51" s="7" t="n">
        <v>5768</v>
      </c>
      <c r="B51" s="7" t="s">
        <v>61</v>
      </c>
      <c r="C51" s="7" t="s">
        <v>162</v>
      </c>
      <c r="D51" s="7" t="s">
        <v>80</v>
      </c>
      <c r="E51" s="7" t="s">
        <v>81</v>
      </c>
      <c r="F51" s="7" t="s">
        <v>382</v>
      </c>
      <c r="G51" s="7" t="s">
        <v>295</v>
      </c>
      <c r="H51" s="7" t="s">
        <v>392</v>
      </c>
      <c r="I51" s="7" t="s">
        <v>393</v>
      </c>
      <c r="J51" s="22" t="n">
        <v>169.958</v>
      </c>
      <c r="K51" s="23"/>
      <c r="L51" s="24" t="str">
        <f aca="false">IF(K51="","",K51-J51)</f>
        <v/>
      </c>
      <c r="M51" s="22" t="n">
        <v>5.129</v>
      </c>
      <c r="N51" s="8" t="n">
        <v>871.71</v>
      </c>
      <c r="O51" s="9"/>
      <c r="P51" s="10" t="str">
        <f aca="false">IF(O51="","",O51-N51)</f>
        <v/>
      </c>
    </row>
    <row r="52" customFormat="false" ht="15" hidden="false" customHeight="false" outlineLevel="0" collapsed="false">
      <c r="A52" s="7" t="n">
        <v>5769</v>
      </c>
      <c r="B52" s="7" t="s">
        <v>61</v>
      </c>
      <c r="C52" s="7" t="s">
        <v>166</v>
      </c>
      <c r="D52" s="7" t="s">
        <v>82</v>
      </c>
      <c r="E52" s="7" t="s">
        <v>83</v>
      </c>
      <c r="F52" s="7" t="s">
        <v>394</v>
      </c>
      <c r="G52" s="7" t="s">
        <v>295</v>
      </c>
      <c r="H52" s="7" t="s">
        <v>395</v>
      </c>
      <c r="I52" s="7" t="s">
        <v>396</v>
      </c>
      <c r="J52" s="22" t="n">
        <v>93.463</v>
      </c>
      <c r="K52" s="23"/>
      <c r="L52" s="24" t="str">
        <f aca="false">IF(K52="","",K52-J52)</f>
        <v/>
      </c>
      <c r="M52" s="22" t="n">
        <v>5.389</v>
      </c>
      <c r="N52" s="8" t="n">
        <v>503.67</v>
      </c>
      <c r="O52" s="9"/>
      <c r="P52" s="10" t="str">
        <f aca="false">IF(O52="","",O52-N52)</f>
        <v/>
      </c>
    </row>
    <row r="53" customFormat="false" ht="15" hidden="false" customHeight="false" outlineLevel="0" collapsed="false">
      <c r="A53" s="7" t="n">
        <v>5769</v>
      </c>
      <c r="B53" s="7" t="s">
        <v>61</v>
      </c>
      <c r="C53" s="7" t="s">
        <v>166</v>
      </c>
      <c r="D53" s="7" t="s">
        <v>82</v>
      </c>
      <c r="E53" s="7" t="s">
        <v>83</v>
      </c>
      <c r="F53" s="7" t="s">
        <v>397</v>
      </c>
      <c r="G53" s="7" t="s">
        <v>295</v>
      </c>
      <c r="H53" s="7" t="s">
        <v>395</v>
      </c>
      <c r="I53" s="7" t="s">
        <v>398</v>
      </c>
      <c r="J53" s="22" t="n">
        <v>144.802</v>
      </c>
      <c r="K53" s="23"/>
      <c r="L53" s="24" t="str">
        <f aca="false">IF(K53="","",K53-J53)</f>
        <v/>
      </c>
      <c r="M53" s="22" t="n">
        <v>5.349</v>
      </c>
      <c r="N53" s="8" t="n">
        <v>774.55</v>
      </c>
      <c r="O53" s="9"/>
      <c r="P53" s="10" t="str">
        <f aca="false">IF(O53="","",O53-N53)</f>
        <v/>
      </c>
    </row>
    <row r="54" customFormat="false" ht="15" hidden="false" customHeight="false" outlineLevel="0" collapsed="false">
      <c r="A54" s="7" t="n">
        <v>5770</v>
      </c>
      <c r="B54" s="7" t="s">
        <v>61</v>
      </c>
      <c r="C54" s="7" t="s">
        <v>168</v>
      </c>
      <c r="D54" s="7" t="s">
        <v>62</v>
      </c>
      <c r="E54" s="7" t="s">
        <v>74</v>
      </c>
      <c r="F54" s="7" t="s">
        <v>382</v>
      </c>
      <c r="G54" s="7" t="s">
        <v>295</v>
      </c>
      <c r="H54" s="7" t="s">
        <v>399</v>
      </c>
      <c r="I54" s="7" t="s">
        <v>400</v>
      </c>
      <c r="J54" s="22" t="n">
        <v>152.547</v>
      </c>
      <c r="K54" s="23"/>
      <c r="L54" s="24" t="str">
        <f aca="false">IF(K54="","",K54-J54)</f>
        <v/>
      </c>
      <c r="M54" s="22" t="n">
        <v>5.589</v>
      </c>
      <c r="N54" s="8" t="n">
        <v>852.59</v>
      </c>
      <c r="O54" s="9"/>
      <c r="P54" s="10" t="str">
        <f aca="false">IF(O54="","",O54-N54)</f>
        <v/>
      </c>
    </row>
    <row r="55" customFormat="false" ht="15" hidden="false" customHeight="false" outlineLevel="0" collapsed="false">
      <c r="A55" s="7" t="n">
        <v>5770</v>
      </c>
      <c r="B55" s="7" t="s">
        <v>61</v>
      </c>
      <c r="C55" s="7" t="s">
        <v>168</v>
      </c>
      <c r="D55" s="7" t="s">
        <v>62</v>
      </c>
      <c r="E55" s="7" t="s">
        <v>74</v>
      </c>
      <c r="F55" s="7" t="s">
        <v>382</v>
      </c>
      <c r="G55" s="7" t="s">
        <v>295</v>
      </c>
      <c r="H55" s="7" t="s">
        <v>401</v>
      </c>
      <c r="I55" s="7" t="s">
        <v>402</v>
      </c>
      <c r="J55" s="22" t="n">
        <v>45.999</v>
      </c>
      <c r="K55" s="23"/>
      <c r="L55" s="24" t="str">
        <f aca="false">IF(K55="","",K55-J55)</f>
        <v/>
      </c>
      <c r="M55" s="22" t="n">
        <v>5.389</v>
      </c>
      <c r="N55" s="8" t="n">
        <v>247.89</v>
      </c>
      <c r="O55" s="9"/>
      <c r="P55" s="10" t="str">
        <f aca="false">IF(O55="","",O55-N55)</f>
        <v/>
      </c>
    </row>
    <row r="56" customFormat="false" ht="15" hidden="false" customHeight="false" outlineLevel="0" collapsed="false">
      <c r="A56" s="7" t="n">
        <v>5770</v>
      </c>
      <c r="B56" s="7" t="s">
        <v>61</v>
      </c>
      <c r="C56" s="7" t="s">
        <v>168</v>
      </c>
      <c r="D56" s="7" t="s">
        <v>62</v>
      </c>
      <c r="E56" s="7" t="s">
        <v>74</v>
      </c>
      <c r="F56" s="7" t="s">
        <v>394</v>
      </c>
      <c r="G56" s="7" t="s">
        <v>295</v>
      </c>
      <c r="H56" s="7" t="s">
        <v>299</v>
      </c>
      <c r="I56" s="7" t="s">
        <v>403</v>
      </c>
      <c r="J56" s="22" t="n">
        <v>120.17</v>
      </c>
      <c r="K56" s="23"/>
      <c r="L56" s="24" t="str">
        <f aca="false">IF(K56="","",K56-J56)</f>
        <v/>
      </c>
      <c r="M56" s="22" t="n">
        <v>5.579</v>
      </c>
      <c r="N56" s="8" t="n">
        <v>670.43</v>
      </c>
      <c r="O56" s="9"/>
      <c r="P56" s="10" t="str">
        <f aca="false">IF(O56="","",O56-N56)</f>
        <v/>
      </c>
    </row>
    <row r="57" customFormat="false" ht="15" hidden="false" customHeight="false" outlineLevel="0" collapsed="false">
      <c r="A57" s="7" t="n">
        <v>5770</v>
      </c>
      <c r="B57" s="7" t="s">
        <v>61</v>
      </c>
      <c r="C57" s="7" t="s">
        <v>170</v>
      </c>
      <c r="D57" s="7" t="s">
        <v>62</v>
      </c>
      <c r="E57" s="7" t="s">
        <v>74</v>
      </c>
      <c r="F57" s="7" t="s">
        <v>404</v>
      </c>
      <c r="G57" s="7" t="s">
        <v>295</v>
      </c>
      <c r="H57" s="7" t="s">
        <v>299</v>
      </c>
      <c r="I57" s="7" t="s">
        <v>405</v>
      </c>
      <c r="J57" s="22" t="n">
        <v>189.237</v>
      </c>
      <c r="K57" s="23"/>
      <c r="L57" s="24" t="str">
        <f aca="false">IF(K57="","",K57-J57)</f>
        <v/>
      </c>
      <c r="M57" s="22" t="n">
        <v>5.549</v>
      </c>
      <c r="N57" s="8" t="n">
        <v>1050.08</v>
      </c>
      <c r="O57" s="9"/>
      <c r="P57" s="10" t="str">
        <f aca="false">IF(O57="","",O57-N57)</f>
        <v/>
      </c>
    </row>
    <row r="58" customFormat="false" ht="15" hidden="false" customHeight="false" outlineLevel="0" collapsed="false">
      <c r="A58" s="7" t="n">
        <v>5770</v>
      </c>
      <c r="B58" s="7" t="s">
        <v>61</v>
      </c>
      <c r="C58" s="7" t="s">
        <v>170</v>
      </c>
      <c r="D58" s="7" t="s">
        <v>62</v>
      </c>
      <c r="E58" s="7" t="s">
        <v>74</v>
      </c>
      <c r="F58" s="7" t="s">
        <v>406</v>
      </c>
      <c r="G58" s="7" t="s">
        <v>295</v>
      </c>
      <c r="H58" s="7" t="s">
        <v>407</v>
      </c>
      <c r="I58" s="7" t="s">
        <v>408</v>
      </c>
      <c r="J58" s="22" t="n">
        <v>74.914</v>
      </c>
      <c r="K58" s="23"/>
      <c r="L58" s="24" t="str">
        <f aca="false">IF(K58="","",K58-J58)</f>
        <v/>
      </c>
      <c r="M58" s="22" t="n">
        <v>5.349</v>
      </c>
      <c r="N58" s="8" t="n">
        <v>400.71</v>
      </c>
      <c r="O58" s="9"/>
      <c r="P58" s="10" t="str">
        <f aca="false">IF(O58="","",O58-N58)</f>
        <v/>
      </c>
    </row>
    <row r="59" customFormat="false" ht="15" hidden="false" customHeight="false" outlineLevel="0" collapsed="false">
      <c r="A59" s="7" t="n">
        <v>5771</v>
      </c>
      <c r="B59" s="7" t="s">
        <v>61</v>
      </c>
      <c r="C59" s="7" t="s">
        <v>172</v>
      </c>
      <c r="D59" s="7" t="s">
        <v>72</v>
      </c>
      <c r="E59" s="7" t="s">
        <v>84</v>
      </c>
      <c r="F59" s="7" t="s">
        <v>382</v>
      </c>
      <c r="G59" s="7" t="s">
        <v>295</v>
      </c>
      <c r="H59" s="7" t="s">
        <v>409</v>
      </c>
      <c r="I59" s="7" t="s">
        <v>410</v>
      </c>
      <c r="J59" s="22" t="n">
        <v>133.63</v>
      </c>
      <c r="K59" s="23"/>
      <c r="L59" s="24" t="str">
        <f aca="false">IF(K59="","",K59-J59)</f>
        <v/>
      </c>
      <c r="M59" s="22" t="n">
        <v>5.149</v>
      </c>
      <c r="N59" s="8" t="n">
        <v>688.06</v>
      </c>
      <c r="O59" s="9"/>
      <c r="P59" s="10" t="str">
        <f aca="false">IF(O59="","",O59-N59)</f>
        <v/>
      </c>
    </row>
    <row r="60" customFormat="false" ht="15" hidden="false" customHeight="false" outlineLevel="0" collapsed="false">
      <c r="A60" s="7" t="n">
        <v>5771</v>
      </c>
      <c r="B60" s="7" t="s">
        <v>61</v>
      </c>
      <c r="C60" s="7" t="s">
        <v>172</v>
      </c>
      <c r="D60" s="7" t="s">
        <v>72</v>
      </c>
      <c r="E60" s="7" t="s">
        <v>84</v>
      </c>
      <c r="F60" s="7" t="s">
        <v>394</v>
      </c>
      <c r="G60" s="7" t="s">
        <v>295</v>
      </c>
      <c r="H60" s="7" t="s">
        <v>299</v>
      </c>
      <c r="I60" s="7" t="s">
        <v>411</v>
      </c>
      <c r="J60" s="22" t="n">
        <v>183.804</v>
      </c>
      <c r="K60" s="23"/>
      <c r="L60" s="24" t="str">
        <f aca="false">IF(K60="","",K60-J60)</f>
        <v/>
      </c>
      <c r="M60" s="22" t="n">
        <v>5.579</v>
      </c>
      <c r="N60" s="8" t="n">
        <v>1025.44</v>
      </c>
      <c r="O60" s="9"/>
      <c r="P60" s="10" t="str">
        <f aca="false">IF(O60="","",O60-N60)</f>
        <v/>
      </c>
    </row>
    <row r="61" customFormat="false" ht="15" hidden="false" customHeight="false" outlineLevel="0" collapsed="false">
      <c r="A61" s="7" t="n">
        <v>5771</v>
      </c>
      <c r="B61" s="7" t="s">
        <v>61</v>
      </c>
      <c r="C61" s="7" t="s">
        <v>173</v>
      </c>
      <c r="D61" s="7" t="s">
        <v>72</v>
      </c>
      <c r="E61" s="7" t="s">
        <v>84</v>
      </c>
      <c r="F61" s="7" t="s">
        <v>404</v>
      </c>
      <c r="G61" s="7" t="s">
        <v>295</v>
      </c>
      <c r="H61" s="7" t="s">
        <v>299</v>
      </c>
      <c r="I61" s="7" t="s">
        <v>412</v>
      </c>
      <c r="J61" s="22" t="n">
        <v>190.632</v>
      </c>
      <c r="K61" s="23"/>
      <c r="L61" s="24" t="str">
        <f aca="false">IF(K61="","",K61-J61)</f>
        <v/>
      </c>
      <c r="M61" s="22" t="n">
        <v>5.549</v>
      </c>
      <c r="N61" s="8" t="n">
        <v>1057.82</v>
      </c>
      <c r="O61" s="9"/>
      <c r="P61" s="10" t="str">
        <f aca="false">IF(O61="","",O61-N61)</f>
        <v/>
      </c>
    </row>
    <row r="62" customFormat="false" ht="15" hidden="false" customHeight="false" outlineLevel="0" collapsed="false">
      <c r="A62" s="7" t="n">
        <v>5771</v>
      </c>
      <c r="B62" s="7" t="s">
        <v>61</v>
      </c>
      <c r="C62" s="7" t="s">
        <v>173</v>
      </c>
      <c r="D62" s="7" t="s">
        <v>72</v>
      </c>
      <c r="E62" s="7" t="s">
        <v>84</v>
      </c>
      <c r="F62" s="7" t="s">
        <v>406</v>
      </c>
      <c r="G62" s="7" t="s">
        <v>295</v>
      </c>
      <c r="H62" s="7" t="s">
        <v>320</v>
      </c>
      <c r="I62" s="7" t="s">
        <v>413</v>
      </c>
      <c r="J62" s="22" t="n">
        <v>76.561</v>
      </c>
      <c r="K62" s="23"/>
      <c r="L62" s="24" t="str">
        <f aca="false">IF(K62="","",K62-J62)</f>
        <v/>
      </c>
      <c r="M62" s="22" t="n">
        <v>5.229</v>
      </c>
      <c r="N62" s="8" t="n">
        <v>400.34</v>
      </c>
      <c r="O62" s="9"/>
      <c r="P62" s="10" t="str">
        <f aca="false">IF(O62="","",O62-N62)</f>
        <v/>
      </c>
    </row>
    <row r="63" customFormat="false" ht="15" hidden="false" customHeight="false" outlineLevel="0" collapsed="false">
      <c r="A63" s="7" t="n">
        <v>5772</v>
      </c>
      <c r="B63" s="7" t="s">
        <v>75</v>
      </c>
      <c r="C63" s="7" t="s">
        <v>175</v>
      </c>
      <c r="D63" s="7" t="s">
        <v>85</v>
      </c>
      <c r="E63" s="7" t="s">
        <v>86</v>
      </c>
      <c r="F63" s="7" t="s">
        <v>358</v>
      </c>
      <c r="G63" s="7" t="s">
        <v>295</v>
      </c>
      <c r="H63" s="7" t="s">
        <v>296</v>
      </c>
      <c r="I63" s="7" t="s">
        <v>414</v>
      </c>
      <c r="J63" s="22" t="n">
        <v>185.563</v>
      </c>
      <c r="K63" s="23"/>
      <c r="L63" s="24" t="str">
        <f aca="false">IF(K63="","",K63-J63)</f>
        <v/>
      </c>
      <c r="M63" s="22" t="n">
        <v>5.389</v>
      </c>
      <c r="N63" s="8" t="n">
        <v>1000</v>
      </c>
      <c r="O63" s="9"/>
      <c r="P63" s="10" t="str">
        <f aca="false">IF(O63="","",O63-N63)</f>
        <v/>
      </c>
    </row>
    <row r="64" customFormat="false" ht="15" hidden="false" customHeight="false" outlineLevel="0" collapsed="false">
      <c r="A64" s="7" t="n">
        <v>5772</v>
      </c>
      <c r="B64" s="7" t="s">
        <v>75</v>
      </c>
      <c r="C64" s="7" t="s">
        <v>175</v>
      </c>
      <c r="D64" s="7" t="s">
        <v>85</v>
      </c>
      <c r="E64" s="7" t="s">
        <v>86</v>
      </c>
      <c r="F64" s="7" t="s">
        <v>316</v>
      </c>
      <c r="G64" s="7" t="s">
        <v>295</v>
      </c>
      <c r="H64" s="7" t="s">
        <v>296</v>
      </c>
      <c r="I64" s="7" t="s">
        <v>415</v>
      </c>
      <c r="J64" s="22" t="n">
        <v>26.042</v>
      </c>
      <c r="K64" s="23"/>
      <c r="L64" s="24" t="str">
        <f aca="false">IF(K64="","",K64-J64)</f>
        <v/>
      </c>
      <c r="M64" s="22" t="n">
        <v>5.349</v>
      </c>
      <c r="N64" s="8" t="n">
        <v>139.3</v>
      </c>
      <c r="O64" s="9"/>
      <c r="P64" s="10" t="str">
        <f aca="false">IF(O64="","",O64-N64)</f>
        <v/>
      </c>
    </row>
    <row r="65" customFormat="false" ht="15" hidden="false" customHeight="false" outlineLevel="0" collapsed="false">
      <c r="A65" s="7" t="n">
        <v>5772</v>
      </c>
      <c r="B65" s="7" t="s">
        <v>75</v>
      </c>
      <c r="C65" s="7" t="s">
        <v>175</v>
      </c>
      <c r="D65" s="7" t="s">
        <v>85</v>
      </c>
      <c r="E65" s="7" t="s">
        <v>86</v>
      </c>
      <c r="F65" s="7" t="s">
        <v>372</v>
      </c>
      <c r="G65" s="7" t="s">
        <v>295</v>
      </c>
      <c r="H65" s="7" t="s">
        <v>416</v>
      </c>
      <c r="I65" s="7"/>
      <c r="J65" s="22" t="n">
        <v>110.301</v>
      </c>
      <c r="K65" s="23"/>
      <c r="L65" s="24" t="str">
        <f aca="false">IF(K65="","",K65-J65)</f>
        <v/>
      </c>
      <c r="M65" s="22" t="n">
        <v>5.349</v>
      </c>
      <c r="N65" s="8" t="n">
        <v>590</v>
      </c>
      <c r="O65" s="9"/>
      <c r="P65" s="10" t="str">
        <f aca="false">IF(O65="","",O65-N65)</f>
        <v/>
      </c>
    </row>
    <row r="66" customFormat="false" ht="15" hidden="false" customHeight="false" outlineLevel="0" collapsed="false">
      <c r="A66" s="7" t="n">
        <v>5772</v>
      </c>
      <c r="B66" s="7" t="s">
        <v>75</v>
      </c>
      <c r="C66" s="7" t="s">
        <v>177</v>
      </c>
      <c r="D66" s="7" t="s">
        <v>85</v>
      </c>
      <c r="E66" s="7" t="s">
        <v>86</v>
      </c>
      <c r="F66" s="7" t="s">
        <v>394</v>
      </c>
      <c r="G66" s="7" t="s">
        <v>295</v>
      </c>
      <c r="H66" s="7" t="s">
        <v>417</v>
      </c>
      <c r="I66" s="7" t="s">
        <v>418</v>
      </c>
      <c r="J66" s="22" t="n">
        <v>88.322</v>
      </c>
      <c r="K66" s="23"/>
      <c r="L66" s="24" t="str">
        <f aca="false">IF(K66="","",K66-J66)</f>
        <v/>
      </c>
      <c r="M66" s="22" t="n">
        <v>5.089</v>
      </c>
      <c r="N66" s="8" t="n">
        <v>449.47</v>
      </c>
      <c r="O66" s="9"/>
      <c r="P66" s="10" t="str">
        <f aca="false">IF(O66="","",O66-N66)</f>
        <v/>
      </c>
    </row>
    <row r="67" customFormat="false" ht="15" hidden="false" customHeight="false" outlineLevel="0" collapsed="false">
      <c r="A67" s="7" t="n">
        <v>5772</v>
      </c>
      <c r="B67" s="7" t="s">
        <v>75</v>
      </c>
      <c r="C67" s="7" t="s">
        <v>179</v>
      </c>
      <c r="D67" s="7" t="s">
        <v>85</v>
      </c>
      <c r="E67" s="7" t="s">
        <v>86</v>
      </c>
      <c r="F67" s="7" t="s">
        <v>406</v>
      </c>
      <c r="G67" s="7" t="s">
        <v>419</v>
      </c>
      <c r="H67" s="7" t="s">
        <v>420</v>
      </c>
      <c r="I67" s="7" t="s">
        <v>421</v>
      </c>
      <c r="J67" s="22" t="n">
        <v>199</v>
      </c>
      <c r="K67" s="23"/>
      <c r="L67" s="24" t="str">
        <f aca="false">IF(K67="","",K67-J67)</f>
        <v/>
      </c>
      <c r="M67" s="22" t="n">
        <v>5.359</v>
      </c>
      <c r="N67" s="8" t="n">
        <v>1066.44</v>
      </c>
      <c r="O67" s="9"/>
      <c r="P67" s="10" t="str">
        <f aca="false">IF(O67="","",O67-N67)</f>
        <v/>
      </c>
    </row>
    <row r="68" customFormat="false" ht="15" hidden="false" customHeight="false" outlineLevel="0" collapsed="false">
      <c r="A68" s="7" t="n">
        <v>5772</v>
      </c>
      <c r="B68" s="7" t="s">
        <v>75</v>
      </c>
      <c r="C68" s="7" t="s">
        <v>182</v>
      </c>
      <c r="D68" s="7" t="s">
        <v>85</v>
      </c>
      <c r="E68" s="7" t="s">
        <v>86</v>
      </c>
      <c r="F68" s="7" t="s">
        <v>422</v>
      </c>
      <c r="G68" s="7" t="s">
        <v>423</v>
      </c>
      <c r="H68" s="7" t="s">
        <v>424</v>
      </c>
      <c r="I68" s="7" t="s">
        <v>425</v>
      </c>
      <c r="J68" s="22" t="n">
        <v>141.218</v>
      </c>
      <c r="K68" s="23"/>
      <c r="L68" s="24" t="str">
        <f aca="false">IF(K68="","",K68-J68)</f>
        <v/>
      </c>
      <c r="M68" s="22" t="n">
        <v>5.199</v>
      </c>
      <c r="N68" s="8" t="n">
        <v>734.19</v>
      </c>
      <c r="O68" s="9"/>
      <c r="P68" s="10" t="str">
        <f aca="false">IF(O68="","",O68-N68)</f>
        <v/>
      </c>
    </row>
    <row r="69" customFormat="false" ht="15" hidden="false" customHeight="false" outlineLevel="0" collapsed="false">
      <c r="A69" s="7" t="n">
        <v>5773</v>
      </c>
      <c r="B69" s="7" t="s">
        <v>61</v>
      </c>
      <c r="C69" s="7" t="s">
        <v>184</v>
      </c>
      <c r="D69" s="7" t="s">
        <v>87</v>
      </c>
      <c r="E69" s="7" t="s">
        <v>88</v>
      </c>
      <c r="F69" s="7" t="s">
        <v>372</v>
      </c>
      <c r="G69" s="7" t="s">
        <v>295</v>
      </c>
      <c r="H69" s="7" t="s">
        <v>320</v>
      </c>
      <c r="I69" s="7" t="s">
        <v>426</v>
      </c>
      <c r="J69" s="22" t="n">
        <v>61.788</v>
      </c>
      <c r="K69" s="23"/>
      <c r="L69" s="24" t="str">
        <f aca="false">IF(K69="","",K69-J69)</f>
        <v/>
      </c>
      <c r="M69" s="22" t="n">
        <v>5.289</v>
      </c>
      <c r="N69" s="8" t="n">
        <v>326.8</v>
      </c>
      <c r="O69" s="9"/>
      <c r="P69" s="10" t="str">
        <f aca="false">IF(O69="","",O69-N69)</f>
        <v/>
      </c>
    </row>
    <row r="70" customFormat="false" ht="15" hidden="false" customHeight="false" outlineLevel="0" collapsed="false">
      <c r="A70" s="7" t="n">
        <v>5773</v>
      </c>
      <c r="B70" s="7" t="s">
        <v>61</v>
      </c>
      <c r="C70" s="7" t="s">
        <v>184</v>
      </c>
      <c r="D70" s="7" t="s">
        <v>87</v>
      </c>
      <c r="E70" s="7" t="s">
        <v>88</v>
      </c>
      <c r="F70" s="7" t="s">
        <v>382</v>
      </c>
      <c r="G70" s="7" t="s">
        <v>295</v>
      </c>
      <c r="H70" s="7" t="s">
        <v>427</v>
      </c>
      <c r="I70" s="7" t="s">
        <v>428</v>
      </c>
      <c r="J70" s="22" t="n">
        <v>144.518</v>
      </c>
      <c r="K70" s="23"/>
      <c r="L70" s="24" t="str">
        <f aca="false">IF(K70="","",K70-J70)</f>
        <v/>
      </c>
      <c r="M70" s="22" t="n">
        <v>5.289</v>
      </c>
      <c r="N70" s="8" t="n">
        <v>764.36</v>
      </c>
      <c r="O70" s="9"/>
      <c r="P70" s="10" t="str">
        <f aca="false">IF(O70="","",O70-N70)</f>
        <v/>
      </c>
    </row>
    <row r="71" customFormat="false" ht="15" hidden="false" customHeight="false" outlineLevel="0" collapsed="false">
      <c r="A71" s="7" t="n">
        <v>5773</v>
      </c>
      <c r="B71" s="7" t="s">
        <v>61</v>
      </c>
      <c r="C71" s="7" t="s">
        <v>184</v>
      </c>
      <c r="D71" s="7" t="s">
        <v>87</v>
      </c>
      <c r="E71" s="7" t="s">
        <v>88</v>
      </c>
      <c r="F71" s="7" t="s">
        <v>397</v>
      </c>
      <c r="G71" s="7" t="s">
        <v>423</v>
      </c>
      <c r="H71" s="7" t="s">
        <v>429</v>
      </c>
      <c r="I71" s="7" t="s">
        <v>430</v>
      </c>
      <c r="J71" s="22" t="n">
        <v>188.605</v>
      </c>
      <c r="K71" s="23"/>
      <c r="L71" s="24" t="str">
        <f aca="false">IF(K71="","",K71-J71)</f>
        <v/>
      </c>
      <c r="M71" s="22" t="n">
        <v>5.799</v>
      </c>
      <c r="N71" s="8" t="n">
        <v>1093.72</v>
      </c>
      <c r="O71" s="9"/>
      <c r="P71" s="10" t="str">
        <f aca="false">IF(O71="","",O71-N71)</f>
        <v/>
      </c>
    </row>
    <row r="72" customFormat="false" ht="15" hidden="false" customHeight="false" outlineLevel="0" collapsed="false">
      <c r="A72" s="7" t="n">
        <v>5773</v>
      </c>
      <c r="B72" s="7" t="s">
        <v>61</v>
      </c>
      <c r="C72" s="7" t="s">
        <v>187</v>
      </c>
      <c r="D72" s="7" t="s">
        <v>87</v>
      </c>
      <c r="E72" s="7" t="s">
        <v>88</v>
      </c>
      <c r="F72" s="7" t="s">
        <v>431</v>
      </c>
      <c r="G72" s="7" t="s">
        <v>295</v>
      </c>
      <c r="H72" s="7" t="s">
        <v>432</v>
      </c>
      <c r="I72" s="7" t="s">
        <v>433</v>
      </c>
      <c r="J72" s="22" t="n">
        <v>151.316</v>
      </c>
      <c r="K72" s="23"/>
      <c r="L72" s="24" t="str">
        <f aca="false">IF(K72="","",K72-J72)</f>
        <v/>
      </c>
      <c r="M72" s="22" t="n">
        <v>5.149</v>
      </c>
      <c r="N72" s="8" t="n">
        <v>779.13</v>
      </c>
      <c r="O72" s="9"/>
      <c r="P72" s="10" t="str">
        <f aca="false">IF(O72="","",O72-N72)</f>
        <v/>
      </c>
    </row>
    <row r="73" customFormat="false" ht="15" hidden="false" customHeight="false" outlineLevel="0" collapsed="false">
      <c r="A73" s="7" t="n">
        <v>5773</v>
      </c>
      <c r="B73" s="7" t="s">
        <v>61</v>
      </c>
      <c r="C73" s="7" t="s">
        <v>187</v>
      </c>
      <c r="D73" s="7" t="s">
        <v>87</v>
      </c>
      <c r="E73" s="7" t="s">
        <v>88</v>
      </c>
      <c r="F73" s="7" t="s">
        <v>406</v>
      </c>
      <c r="G73" s="7" t="s">
        <v>295</v>
      </c>
      <c r="H73" s="7" t="s">
        <v>383</v>
      </c>
      <c r="I73" s="7" t="s">
        <v>434</v>
      </c>
      <c r="J73" s="22" t="n">
        <v>159.168</v>
      </c>
      <c r="K73" s="23"/>
      <c r="L73" s="24" t="str">
        <f aca="false">IF(K73="","",K73-J73)</f>
        <v/>
      </c>
      <c r="M73" s="22" t="n">
        <v>5.289</v>
      </c>
      <c r="N73" s="8" t="n">
        <v>841.84</v>
      </c>
      <c r="O73" s="9"/>
      <c r="P73" s="10" t="str">
        <f aca="false">IF(O73="","",O73-N73)</f>
        <v/>
      </c>
    </row>
    <row r="74" customFormat="false" ht="15" hidden="false" customHeight="false" outlineLevel="0" collapsed="false">
      <c r="A74" s="7" t="n">
        <v>5774</v>
      </c>
      <c r="B74" s="7" t="s">
        <v>61</v>
      </c>
      <c r="C74" s="7" t="s">
        <v>189</v>
      </c>
      <c r="D74" s="7" t="s">
        <v>78</v>
      </c>
      <c r="E74" s="7" t="s">
        <v>67</v>
      </c>
      <c r="F74" s="7" t="s">
        <v>397</v>
      </c>
      <c r="G74" s="7" t="s">
        <v>295</v>
      </c>
      <c r="H74" s="7" t="s">
        <v>296</v>
      </c>
      <c r="I74" s="7" t="s">
        <v>435</v>
      </c>
      <c r="J74" s="22" t="n">
        <v>141.998</v>
      </c>
      <c r="K74" s="23"/>
      <c r="L74" s="24" t="str">
        <f aca="false">IF(K74="","",K74-J74)</f>
        <v/>
      </c>
      <c r="M74" s="22" t="n">
        <v>5.249</v>
      </c>
      <c r="N74" s="8" t="n">
        <v>745.35</v>
      </c>
      <c r="O74" s="9"/>
      <c r="P74" s="10" t="str">
        <f aca="false">IF(O74="","",O74-N74)</f>
        <v/>
      </c>
    </row>
    <row r="75" customFormat="false" ht="15" hidden="false" customHeight="false" outlineLevel="0" collapsed="false">
      <c r="A75" s="7" t="n">
        <v>5774</v>
      </c>
      <c r="B75" s="7" t="s">
        <v>61</v>
      </c>
      <c r="C75" s="7" t="s">
        <v>189</v>
      </c>
      <c r="D75" s="7" t="s">
        <v>78</v>
      </c>
      <c r="E75" s="7" t="s">
        <v>67</v>
      </c>
      <c r="F75" s="7" t="s">
        <v>404</v>
      </c>
      <c r="G75" s="7" t="s">
        <v>295</v>
      </c>
      <c r="H75" s="7" t="s">
        <v>436</v>
      </c>
      <c r="I75" s="7" t="s">
        <v>437</v>
      </c>
      <c r="J75" s="22" t="n">
        <v>150.039</v>
      </c>
      <c r="K75" s="23"/>
      <c r="L75" s="24" t="str">
        <f aca="false">IF(K75="","",K75-J75)</f>
        <v/>
      </c>
      <c r="M75" s="22" t="n">
        <v>5.409</v>
      </c>
      <c r="N75" s="8" t="n">
        <v>811.56</v>
      </c>
      <c r="O75" s="9"/>
      <c r="P75" s="10" t="str">
        <f aca="false">IF(O75="","",O75-N75)</f>
        <v/>
      </c>
    </row>
    <row r="76" customFormat="false" ht="15" hidden="false" customHeight="false" outlineLevel="0" collapsed="false">
      <c r="A76" s="7" t="n">
        <v>5774</v>
      </c>
      <c r="B76" s="7" t="s">
        <v>61</v>
      </c>
      <c r="C76" s="7" t="s">
        <v>191</v>
      </c>
      <c r="D76" s="7" t="s">
        <v>78</v>
      </c>
      <c r="E76" s="7" t="s">
        <v>67</v>
      </c>
      <c r="F76" s="7" t="s">
        <v>438</v>
      </c>
      <c r="G76" s="7" t="s">
        <v>295</v>
      </c>
      <c r="H76" s="7" t="s">
        <v>380</v>
      </c>
      <c r="I76" s="7" t="s">
        <v>439</v>
      </c>
      <c r="J76" s="22" t="n">
        <v>180.01</v>
      </c>
      <c r="K76" s="23"/>
      <c r="L76" s="24" t="str">
        <f aca="false">IF(K76="","",K76-J76)</f>
        <v/>
      </c>
      <c r="M76" s="22" t="n">
        <v>5.349</v>
      </c>
      <c r="N76" s="8" t="n">
        <v>962.87</v>
      </c>
      <c r="O76" s="9"/>
      <c r="P76" s="10" t="str">
        <f aca="false">IF(O76="","",O76-N76)</f>
        <v/>
      </c>
    </row>
    <row r="77" customFormat="false" ht="15" hidden="false" customHeight="false" outlineLevel="0" collapsed="false">
      <c r="A77" s="7" t="n">
        <v>5775</v>
      </c>
      <c r="B77" s="7" t="s">
        <v>61</v>
      </c>
      <c r="C77" s="7" t="s">
        <v>193</v>
      </c>
      <c r="D77" s="7" t="s">
        <v>89</v>
      </c>
      <c r="E77" s="7" t="s">
        <v>71</v>
      </c>
      <c r="F77" s="7" t="s">
        <v>382</v>
      </c>
      <c r="G77" s="7" t="s">
        <v>295</v>
      </c>
      <c r="H77" s="7" t="s">
        <v>296</v>
      </c>
      <c r="I77" s="7" t="s">
        <v>440</v>
      </c>
      <c r="J77" s="22" t="n">
        <v>65.984</v>
      </c>
      <c r="K77" s="23"/>
      <c r="L77" s="24" t="str">
        <f aca="false">IF(K77="","",K77-J77)</f>
        <v/>
      </c>
      <c r="M77" s="22" t="n">
        <v>5.349</v>
      </c>
      <c r="N77" s="8" t="n">
        <v>352.95</v>
      </c>
      <c r="O77" s="9"/>
      <c r="P77" s="10" t="str">
        <f aca="false">IF(O77="","",O77-N77)</f>
        <v/>
      </c>
    </row>
    <row r="78" customFormat="false" ht="15" hidden="false" customHeight="false" outlineLevel="0" collapsed="false">
      <c r="A78" s="7" t="n">
        <v>5775</v>
      </c>
      <c r="B78" s="7" t="s">
        <v>61</v>
      </c>
      <c r="C78" s="7" t="s">
        <v>193</v>
      </c>
      <c r="D78" s="7" t="s">
        <v>89</v>
      </c>
      <c r="E78" s="7" t="s">
        <v>71</v>
      </c>
      <c r="F78" s="7" t="s">
        <v>394</v>
      </c>
      <c r="G78" s="7" t="s">
        <v>295</v>
      </c>
      <c r="H78" s="7" t="s">
        <v>441</v>
      </c>
      <c r="I78" s="7" t="s">
        <v>442</v>
      </c>
      <c r="J78" s="22" t="n">
        <v>141.401</v>
      </c>
      <c r="K78" s="23"/>
      <c r="L78" s="24" t="str">
        <f aca="false">IF(K78="","",K78-J78)</f>
        <v/>
      </c>
      <c r="M78" s="22" t="n">
        <v>5.289</v>
      </c>
      <c r="N78" s="8" t="n">
        <v>747.87</v>
      </c>
      <c r="O78" s="9"/>
      <c r="P78" s="10" t="str">
        <f aca="false">IF(O78="","",O78-N78)</f>
        <v/>
      </c>
    </row>
    <row r="79" customFormat="false" ht="15" hidden="false" customHeight="false" outlineLevel="0" collapsed="false">
      <c r="A79" s="7" t="n">
        <v>5775</v>
      </c>
      <c r="B79" s="7" t="s">
        <v>61</v>
      </c>
      <c r="C79" s="7" t="s">
        <v>196</v>
      </c>
      <c r="D79" s="7" t="s">
        <v>89</v>
      </c>
      <c r="E79" s="7" t="s">
        <v>71</v>
      </c>
      <c r="F79" s="7" t="s">
        <v>431</v>
      </c>
      <c r="G79" s="7" t="s">
        <v>295</v>
      </c>
      <c r="H79" s="7" t="s">
        <v>443</v>
      </c>
      <c r="I79" s="7" t="s">
        <v>444</v>
      </c>
      <c r="J79" s="22" t="n">
        <v>140.039</v>
      </c>
      <c r="K79" s="23"/>
      <c r="L79" s="24" t="str">
        <f aca="false">IF(K79="","",K79-J79)</f>
        <v/>
      </c>
      <c r="M79" s="22" t="n">
        <v>5.349</v>
      </c>
      <c r="N79" s="8" t="n">
        <v>749.07</v>
      </c>
      <c r="O79" s="9"/>
      <c r="P79" s="10" t="str">
        <f aca="false">IF(O79="","",O79-N79)</f>
        <v/>
      </c>
    </row>
    <row r="80" customFormat="false" ht="15" hidden="false" customHeight="false" outlineLevel="0" collapsed="false">
      <c r="A80" s="7" t="n">
        <v>5775</v>
      </c>
      <c r="B80" s="7" t="s">
        <v>61</v>
      </c>
      <c r="C80" s="7" t="s">
        <v>196</v>
      </c>
      <c r="D80" s="7" t="s">
        <v>89</v>
      </c>
      <c r="E80" s="7" t="s">
        <v>71</v>
      </c>
      <c r="F80" s="7" t="s">
        <v>422</v>
      </c>
      <c r="G80" s="7" t="s">
        <v>295</v>
      </c>
      <c r="H80" s="7" t="s">
        <v>445</v>
      </c>
      <c r="I80" s="7" t="s">
        <v>446</v>
      </c>
      <c r="J80" s="22" t="n">
        <v>144.009</v>
      </c>
      <c r="K80" s="23"/>
      <c r="L80" s="24" t="str">
        <f aca="false">IF(K80="","",K80-J80)</f>
        <v/>
      </c>
      <c r="M80" s="22" t="n">
        <v>5.189</v>
      </c>
      <c r="N80" s="8" t="n">
        <v>747.26</v>
      </c>
      <c r="O80" s="9"/>
      <c r="P80" s="10" t="str">
        <f aca="false">IF(O80="","",O80-N80)</f>
        <v/>
      </c>
    </row>
    <row r="81" customFormat="false" ht="15" hidden="false" customHeight="false" outlineLevel="0" collapsed="false">
      <c r="A81" s="7" t="n">
        <v>5775</v>
      </c>
      <c r="B81" s="7" t="s">
        <v>61</v>
      </c>
      <c r="C81" s="7" t="s">
        <v>196</v>
      </c>
      <c r="D81" s="7" t="s">
        <v>89</v>
      </c>
      <c r="E81" s="7" t="s">
        <v>71</v>
      </c>
      <c r="F81" s="7" t="s">
        <v>438</v>
      </c>
      <c r="G81" s="7" t="s">
        <v>295</v>
      </c>
      <c r="H81" s="7" t="s">
        <v>447</v>
      </c>
      <c r="I81" s="7" t="s">
        <v>448</v>
      </c>
      <c r="J81" s="22" t="n">
        <v>60.026</v>
      </c>
      <c r="K81" s="23"/>
      <c r="L81" s="24" t="str">
        <f aca="false">IF(K81="","",K81-J81)</f>
        <v/>
      </c>
      <c r="M81" s="22" t="n">
        <v>5.499</v>
      </c>
      <c r="N81" s="8" t="n">
        <v>330.08</v>
      </c>
      <c r="O81" s="9"/>
      <c r="P81" s="10" t="str">
        <f aca="false">IF(O81="","",O81-N81)</f>
        <v/>
      </c>
    </row>
    <row r="82" customFormat="false" ht="15" hidden="false" customHeight="false" outlineLevel="0" collapsed="false">
      <c r="A82" s="7" t="n">
        <v>5775</v>
      </c>
      <c r="B82" s="7" t="s">
        <v>61</v>
      </c>
      <c r="C82" s="7" t="s">
        <v>199</v>
      </c>
      <c r="D82" s="7" t="s">
        <v>89</v>
      </c>
      <c r="E82" s="7" t="s">
        <v>71</v>
      </c>
      <c r="F82" s="7" t="s">
        <v>449</v>
      </c>
      <c r="G82" s="7" t="s">
        <v>295</v>
      </c>
      <c r="H82" s="7" t="s">
        <v>450</v>
      </c>
      <c r="I82" s="7" t="s">
        <v>451</v>
      </c>
      <c r="J82" s="22" t="n">
        <v>50.128</v>
      </c>
      <c r="K82" s="23"/>
      <c r="L82" s="24" t="str">
        <f aca="false">IF(K82="","",K82-J82)</f>
        <v/>
      </c>
      <c r="M82" s="22" t="n">
        <v>5.589</v>
      </c>
      <c r="N82" s="8" t="n">
        <v>280.17</v>
      </c>
      <c r="O82" s="9"/>
      <c r="P82" s="10" t="str">
        <f aca="false">IF(O82="","",O82-N82)</f>
        <v/>
      </c>
    </row>
    <row r="83" customFormat="false" ht="15" hidden="false" customHeight="false" outlineLevel="0" collapsed="false">
      <c r="A83" s="7" t="n">
        <v>5776</v>
      </c>
      <c r="B83" s="7" t="s">
        <v>75</v>
      </c>
      <c r="C83" s="7" t="s">
        <v>201</v>
      </c>
      <c r="D83" s="7" t="s">
        <v>66</v>
      </c>
      <c r="E83" s="7" t="s">
        <v>202</v>
      </c>
      <c r="F83" s="7" t="s">
        <v>372</v>
      </c>
      <c r="G83" s="7" t="s">
        <v>295</v>
      </c>
      <c r="H83" s="7" t="s">
        <v>296</v>
      </c>
      <c r="I83" s="7" t="s">
        <v>452</v>
      </c>
      <c r="J83" s="22" t="n">
        <v>50.006</v>
      </c>
      <c r="K83" s="23"/>
      <c r="L83" s="24" t="str">
        <f aca="false">IF(K83="","",K83-J83)</f>
        <v/>
      </c>
      <c r="M83" s="22" t="n">
        <v>5.349</v>
      </c>
      <c r="N83" s="8" t="n">
        <v>267.48</v>
      </c>
      <c r="O83" s="9"/>
      <c r="P83" s="10" t="str">
        <f aca="false">IF(O83="","",O83-N83)</f>
        <v/>
      </c>
    </row>
    <row r="84" customFormat="false" ht="15" hidden="false" customHeight="false" outlineLevel="0" collapsed="false">
      <c r="A84" s="7" t="n">
        <v>5776</v>
      </c>
      <c r="B84" s="7" t="s">
        <v>75</v>
      </c>
      <c r="C84" s="7" t="s">
        <v>201</v>
      </c>
      <c r="D84" s="7" t="s">
        <v>66</v>
      </c>
      <c r="E84" s="7" t="s">
        <v>202</v>
      </c>
      <c r="F84" s="7" t="s">
        <v>382</v>
      </c>
      <c r="G84" s="7" t="s">
        <v>295</v>
      </c>
      <c r="H84" s="7" t="s">
        <v>320</v>
      </c>
      <c r="I84" s="7" t="s">
        <v>453</v>
      </c>
      <c r="J84" s="22" t="n">
        <v>150.516</v>
      </c>
      <c r="K84" s="23"/>
      <c r="L84" s="24" t="str">
        <f aca="false">IF(K84="","",K84-J84)</f>
        <v/>
      </c>
      <c r="M84" s="22" t="n">
        <v>5.289</v>
      </c>
      <c r="N84" s="8" t="n">
        <v>796.08</v>
      </c>
      <c r="O84" s="9"/>
      <c r="P84" s="10" t="str">
        <f aca="false">IF(O84="","",O84-N84)</f>
        <v/>
      </c>
    </row>
    <row r="85" customFormat="false" ht="15" hidden="false" customHeight="false" outlineLevel="0" collapsed="false">
      <c r="A85" s="7" t="n">
        <v>5776</v>
      </c>
      <c r="B85" s="7" t="s">
        <v>75</v>
      </c>
      <c r="C85" s="7" t="s">
        <v>201</v>
      </c>
      <c r="D85" s="7" t="s">
        <v>66</v>
      </c>
      <c r="E85" s="7" t="s">
        <v>202</v>
      </c>
      <c r="F85" s="7" t="s">
        <v>382</v>
      </c>
      <c r="G85" s="7" t="s">
        <v>295</v>
      </c>
      <c r="H85" s="7" t="s">
        <v>454</v>
      </c>
      <c r="I85" s="7" t="s">
        <v>455</v>
      </c>
      <c r="J85" s="22" t="n">
        <v>32.006</v>
      </c>
      <c r="K85" s="23"/>
      <c r="L85" s="24" t="str">
        <f aca="false">IF(K85="","",K85-J85)</f>
        <v/>
      </c>
      <c r="M85" s="22" t="n">
        <v>5.289</v>
      </c>
      <c r="N85" s="8" t="n">
        <v>169.28</v>
      </c>
      <c r="O85" s="9"/>
      <c r="P85" s="10" t="str">
        <f aca="false">IF(O85="","",O85-N85)</f>
        <v/>
      </c>
    </row>
    <row r="86" customFormat="false" ht="15" hidden="false" customHeight="false" outlineLevel="0" collapsed="false">
      <c r="A86" s="7" t="n">
        <v>5776</v>
      </c>
      <c r="B86" s="7" t="s">
        <v>75</v>
      </c>
      <c r="C86" s="7" t="s">
        <v>204</v>
      </c>
      <c r="D86" s="7" t="s">
        <v>66</v>
      </c>
      <c r="E86" s="7" t="s">
        <v>93</v>
      </c>
      <c r="F86" s="7" t="s">
        <v>404</v>
      </c>
      <c r="G86" s="7" t="s">
        <v>295</v>
      </c>
      <c r="H86" s="7" t="s">
        <v>456</v>
      </c>
      <c r="I86" s="7" t="s">
        <v>457</v>
      </c>
      <c r="J86" s="22" t="n">
        <v>187.009</v>
      </c>
      <c r="K86" s="23"/>
      <c r="L86" s="24" t="str">
        <f aca="false">IF(K86="","",K86-J86)</f>
        <v/>
      </c>
      <c r="M86" s="22" t="n">
        <v>5.409</v>
      </c>
      <c r="N86" s="8" t="n">
        <v>1011.53</v>
      </c>
      <c r="O86" s="9"/>
      <c r="P86" s="10" t="str">
        <f aca="false">IF(O86="","",O86-N86)</f>
        <v/>
      </c>
    </row>
    <row r="87" customFormat="false" ht="15" hidden="false" customHeight="false" outlineLevel="0" collapsed="false">
      <c r="A87" s="7" t="n">
        <v>5776</v>
      </c>
      <c r="B87" s="7" t="s">
        <v>75</v>
      </c>
      <c r="C87" s="7" t="s">
        <v>204</v>
      </c>
      <c r="D87" s="7" t="s">
        <v>66</v>
      </c>
      <c r="E87" s="7" t="s">
        <v>93</v>
      </c>
      <c r="F87" s="7" t="s">
        <v>406</v>
      </c>
      <c r="G87" s="7" t="s">
        <v>295</v>
      </c>
      <c r="H87" s="7" t="s">
        <v>351</v>
      </c>
      <c r="I87" s="7" t="s">
        <v>458</v>
      </c>
      <c r="J87" s="22" t="n">
        <v>112.005</v>
      </c>
      <c r="K87" s="23"/>
      <c r="L87" s="24" t="str">
        <f aca="false">IF(K87="","",K87-J87)</f>
        <v/>
      </c>
      <c r="M87" s="22" t="n">
        <v>5.359</v>
      </c>
      <c r="N87" s="8" t="n">
        <v>600.23</v>
      </c>
      <c r="O87" s="9"/>
      <c r="P87" s="10" t="str">
        <f aca="false">IF(O87="","",O87-N87)</f>
        <v/>
      </c>
    </row>
    <row r="88" customFormat="false" ht="15" hidden="false" customHeight="false" outlineLevel="0" collapsed="false">
      <c r="A88" s="7" t="n">
        <v>5776</v>
      </c>
      <c r="B88" s="7" t="s">
        <v>75</v>
      </c>
      <c r="C88" s="7" t="s">
        <v>204</v>
      </c>
      <c r="D88" s="7" t="s">
        <v>66</v>
      </c>
      <c r="E88" s="7" t="s">
        <v>93</v>
      </c>
      <c r="F88" s="7" t="s">
        <v>438</v>
      </c>
      <c r="G88" s="7" t="s">
        <v>295</v>
      </c>
      <c r="H88" s="7" t="s">
        <v>459</v>
      </c>
      <c r="I88" s="7" t="s">
        <v>460</v>
      </c>
      <c r="J88" s="22" t="n">
        <v>152.335</v>
      </c>
      <c r="K88" s="23"/>
      <c r="L88" s="24" t="str">
        <f aca="false">IF(K88="","",K88-J88)</f>
        <v/>
      </c>
      <c r="M88" s="22" t="n">
        <v>5.449</v>
      </c>
      <c r="N88" s="8" t="n">
        <v>830.07</v>
      </c>
      <c r="O88" s="9"/>
      <c r="P88" s="10" t="str">
        <f aca="false">IF(O88="","",O88-N88)</f>
        <v/>
      </c>
    </row>
    <row r="89" customFormat="false" ht="15" hidden="false" customHeight="false" outlineLevel="0" collapsed="false">
      <c r="A89" s="7" t="n">
        <v>5776</v>
      </c>
      <c r="B89" s="7" t="s">
        <v>75</v>
      </c>
      <c r="C89" s="7" t="s">
        <v>204</v>
      </c>
      <c r="D89" s="7" t="s">
        <v>66</v>
      </c>
      <c r="E89" s="7" t="s">
        <v>93</v>
      </c>
      <c r="F89" s="7" t="s">
        <v>449</v>
      </c>
      <c r="G89" s="7" t="s">
        <v>295</v>
      </c>
      <c r="H89" s="7" t="s">
        <v>383</v>
      </c>
      <c r="I89" s="7" t="s">
        <v>461</v>
      </c>
      <c r="J89" s="22" t="n">
        <v>99.085</v>
      </c>
      <c r="K89" s="23"/>
      <c r="L89" s="24" t="str">
        <f aca="false">IF(K89="","",K89-J89)</f>
        <v/>
      </c>
      <c r="M89" s="22" t="n">
        <v>5.549</v>
      </c>
      <c r="N89" s="8" t="n">
        <v>549.82</v>
      </c>
      <c r="O89" s="9"/>
      <c r="P89" s="10" t="str">
        <f aca="false">IF(O89="","",O89-N89)</f>
        <v/>
      </c>
    </row>
    <row r="90" customFormat="false" ht="15" hidden="false" customHeight="false" outlineLevel="0" collapsed="false">
      <c r="A90" s="7" t="n">
        <v>5777</v>
      </c>
      <c r="B90" s="7" t="s">
        <v>61</v>
      </c>
      <c r="C90" s="7" t="s">
        <v>209</v>
      </c>
      <c r="D90" s="7" t="s">
        <v>72</v>
      </c>
      <c r="E90" s="7" t="s">
        <v>84</v>
      </c>
      <c r="F90" s="7" t="s">
        <v>438</v>
      </c>
      <c r="G90" s="7" t="s">
        <v>295</v>
      </c>
      <c r="H90" s="7" t="s">
        <v>320</v>
      </c>
      <c r="I90" s="7" t="s">
        <v>462</v>
      </c>
      <c r="J90" s="22" t="n">
        <v>153.686</v>
      </c>
      <c r="K90" s="23"/>
      <c r="L90" s="24" t="str">
        <f aca="false">IF(K90="","",K90-J90)</f>
        <v/>
      </c>
      <c r="M90" s="22" t="n">
        <v>5.329</v>
      </c>
      <c r="N90" s="8" t="n">
        <v>818.99</v>
      </c>
      <c r="O90" s="9"/>
      <c r="P90" s="10" t="str">
        <f aca="false">IF(O90="","",O90-N90)</f>
        <v/>
      </c>
    </row>
    <row r="91" customFormat="false" ht="15" hidden="false" customHeight="false" outlineLevel="0" collapsed="false">
      <c r="A91" s="7" t="n">
        <v>5777</v>
      </c>
      <c r="B91" s="7" t="s">
        <v>61</v>
      </c>
      <c r="C91" s="7" t="s">
        <v>209</v>
      </c>
      <c r="D91" s="7" t="s">
        <v>72</v>
      </c>
      <c r="E91" s="7" t="s">
        <v>84</v>
      </c>
      <c r="F91" s="7" t="s">
        <v>449</v>
      </c>
      <c r="G91" s="7" t="s">
        <v>295</v>
      </c>
      <c r="H91" s="7" t="s">
        <v>368</v>
      </c>
      <c r="I91" s="7" t="s">
        <v>463</v>
      </c>
      <c r="J91" s="22" t="n">
        <v>179.306</v>
      </c>
      <c r="K91" s="23"/>
      <c r="L91" s="24" t="str">
        <f aca="false">IF(K91="","",K91-J91)</f>
        <v/>
      </c>
      <c r="M91" s="22" t="n">
        <v>5.689</v>
      </c>
      <c r="N91" s="8" t="n">
        <v>1020.07</v>
      </c>
      <c r="O91" s="9"/>
      <c r="P91" s="10" t="str">
        <f aca="false">IF(O91="","",O91-N91)</f>
        <v/>
      </c>
    </row>
    <row r="92" customFormat="false" ht="15" hidden="false" customHeight="false" outlineLevel="0" collapsed="false">
      <c r="A92" s="7" t="n">
        <v>5777</v>
      </c>
      <c r="B92" s="7" t="s">
        <v>61</v>
      </c>
      <c r="C92" s="7" t="s">
        <v>210</v>
      </c>
      <c r="D92" s="7" t="s">
        <v>72</v>
      </c>
      <c r="E92" s="7" t="s">
        <v>84</v>
      </c>
      <c r="F92" s="7" t="s">
        <v>464</v>
      </c>
      <c r="G92" s="7" t="s">
        <v>295</v>
      </c>
      <c r="H92" s="7" t="s">
        <v>368</v>
      </c>
      <c r="I92" s="7" t="s">
        <v>465</v>
      </c>
      <c r="J92" s="22" t="n">
        <v>180.199</v>
      </c>
      <c r="K92" s="23"/>
      <c r="L92" s="24" t="str">
        <f aca="false">IF(K92="","",K92-J92)</f>
        <v/>
      </c>
      <c r="M92" s="22" t="n">
        <v>5.719</v>
      </c>
      <c r="N92" s="8" t="n">
        <v>1030.56</v>
      </c>
      <c r="O92" s="9"/>
      <c r="P92" s="10" t="str">
        <f aca="false">IF(O92="","",O92-N92)</f>
        <v/>
      </c>
    </row>
    <row r="93" customFormat="false" ht="15" hidden="false" customHeight="false" outlineLevel="0" collapsed="false">
      <c r="A93" s="7" t="n">
        <v>5777</v>
      </c>
      <c r="B93" s="7" t="s">
        <v>61</v>
      </c>
      <c r="C93" s="7" t="s">
        <v>210</v>
      </c>
      <c r="D93" s="7" t="s">
        <v>72</v>
      </c>
      <c r="E93" s="7" t="s">
        <v>84</v>
      </c>
      <c r="F93" s="7" t="s">
        <v>466</v>
      </c>
      <c r="G93" s="7" t="s">
        <v>295</v>
      </c>
      <c r="H93" s="7" t="s">
        <v>467</v>
      </c>
      <c r="I93" s="7" t="s">
        <v>468</v>
      </c>
      <c r="J93" s="22" t="n">
        <v>90.111</v>
      </c>
      <c r="K93" s="23"/>
      <c r="L93" s="24" t="str">
        <f aca="false">IF(K93="","",K93-J93)</f>
        <v/>
      </c>
      <c r="M93" s="22" t="n">
        <v>5.549</v>
      </c>
      <c r="N93" s="8" t="n">
        <v>500.03</v>
      </c>
      <c r="O93" s="9"/>
      <c r="P93" s="10" t="str">
        <f aca="false">IF(O93="","",O93-N93)</f>
        <v/>
      </c>
    </row>
    <row r="94" customFormat="false" ht="15" hidden="false" customHeight="false" outlineLevel="0" collapsed="false">
      <c r="A94" s="7" t="n">
        <v>5778</v>
      </c>
      <c r="B94" s="7" t="s">
        <v>61</v>
      </c>
      <c r="C94" s="7" t="s">
        <v>212</v>
      </c>
      <c r="D94" s="7" t="s">
        <v>80</v>
      </c>
      <c r="E94" s="7" t="s">
        <v>81</v>
      </c>
      <c r="F94" s="7" t="s">
        <v>431</v>
      </c>
      <c r="G94" s="7" t="s">
        <v>295</v>
      </c>
      <c r="H94" s="7" t="s">
        <v>320</v>
      </c>
      <c r="I94" s="7" t="s">
        <v>469</v>
      </c>
      <c r="J94" s="22" t="n">
        <v>60.207</v>
      </c>
      <c r="K94" s="23"/>
      <c r="L94" s="24" t="str">
        <f aca="false">IF(K94="","",K94-J94)</f>
        <v/>
      </c>
      <c r="M94" s="22" t="n">
        <v>5.229</v>
      </c>
      <c r="N94" s="8" t="n">
        <v>314.82</v>
      </c>
      <c r="O94" s="9"/>
      <c r="P94" s="10" t="str">
        <f aca="false">IF(O94="","",O94-N94)</f>
        <v/>
      </c>
    </row>
    <row r="95" customFormat="false" ht="15" hidden="false" customHeight="false" outlineLevel="0" collapsed="false">
      <c r="A95" s="7" t="n">
        <v>5778</v>
      </c>
      <c r="B95" s="7" t="s">
        <v>61</v>
      </c>
      <c r="C95" s="7" t="s">
        <v>212</v>
      </c>
      <c r="D95" s="7" t="s">
        <v>80</v>
      </c>
      <c r="E95" s="7" t="s">
        <v>81</v>
      </c>
      <c r="F95" s="7" t="s">
        <v>404</v>
      </c>
      <c r="G95" s="7" t="s">
        <v>295</v>
      </c>
      <c r="H95" s="7" t="s">
        <v>376</v>
      </c>
      <c r="I95" s="7" t="s">
        <v>470</v>
      </c>
      <c r="J95" s="22" t="n">
        <v>198</v>
      </c>
      <c r="K95" s="23"/>
      <c r="L95" s="24" t="str">
        <f aca="false">IF(K95="","",K95-J95)</f>
        <v/>
      </c>
      <c r="M95" s="22" t="n">
        <v>5.349</v>
      </c>
      <c r="N95" s="8" t="n">
        <v>1059.1</v>
      </c>
      <c r="O95" s="9"/>
      <c r="P95" s="10" t="str">
        <f aca="false">IF(O95="","",O95-N95)</f>
        <v/>
      </c>
    </row>
    <row r="96" customFormat="false" ht="15" hidden="false" customHeight="false" outlineLevel="0" collapsed="false">
      <c r="A96" s="7" t="n">
        <v>5778</v>
      </c>
      <c r="B96" s="7" t="s">
        <v>61</v>
      </c>
      <c r="C96" s="7" t="s">
        <v>212</v>
      </c>
      <c r="D96" s="7" t="s">
        <v>80</v>
      </c>
      <c r="E96" s="7" t="s">
        <v>81</v>
      </c>
      <c r="F96" s="7" t="s">
        <v>406</v>
      </c>
      <c r="G96" s="7" t="s">
        <v>295</v>
      </c>
      <c r="H96" s="7" t="s">
        <v>471</v>
      </c>
      <c r="I96" s="7" t="s">
        <v>472</v>
      </c>
      <c r="J96" s="22" t="n">
        <v>104.829</v>
      </c>
      <c r="K96" s="23"/>
      <c r="L96" s="24" t="str">
        <f aca="false">IF(K96="","",K96-J96)</f>
        <v/>
      </c>
      <c r="M96" s="22" t="n">
        <v>4.949</v>
      </c>
      <c r="N96" s="8" t="n">
        <v>518.8</v>
      </c>
      <c r="O96" s="9"/>
      <c r="P96" s="10" t="str">
        <f aca="false">IF(O96="","",O96-N96)</f>
        <v/>
      </c>
    </row>
    <row r="97" customFormat="false" ht="15" hidden="false" customHeight="false" outlineLevel="0" collapsed="false">
      <c r="A97" s="7" t="n">
        <v>5778</v>
      </c>
      <c r="B97" s="7" t="s">
        <v>61</v>
      </c>
      <c r="C97" s="7" t="s">
        <v>212</v>
      </c>
      <c r="D97" s="7" t="s">
        <v>80</v>
      </c>
      <c r="E97" s="7" t="s">
        <v>81</v>
      </c>
      <c r="F97" s="7" t="s">
        <v>449</v>
      </c>
      <c r="G97" s="7" t="s">
        <v>295</v>
      </c>
      <c r="H97" s="7" t="s">
        <v>473</v>
      </c>
      <c r="I97" s="7" t="s">
        <v>474</v>
      </c>
      <c r="J97" s="22" t="n">
        <v>129.699</v>
      </c>
      <c r="K97" s="23"/>
      <c r="L97" s="24" t="str">
        <f aca="false">IF(K97="","",K97-J97)</f>
        <v/>
      </c>
      <c r="M97" s="22" t="n">
        <v>5.389</v>
      </c>
      <c r="N97" s="8" t="n">
        <v>698.95</v>
      </c>
      <c r="O97" s="9"/>
      <c r="P97" s="10" t="str">
        <f aca="false">IF(O97="","",O97-N97)</f>
        <v/>
      </c>
    </row>
    <row r="98" customFormat="false" ht="15" hidden="false" customHeight="false" outlineLevel="0" collapsed="false">
      <c r="A98" s="7" t="n">
        <v>5778</v>
      </c>
      <c r="B98" s="7" t="s">
        <v>61</v>
      </c>
      <c r="C98" s="7" t="s">
        <v>212</v>
      </c>
      <c r="D98" s="7" t="s">
        <v>80</v>
      </c>
      <c r="E98" s="7" t="s">
        <v>81</v>
      </c>
      <c r="F98" s="7" t="s">
        <v>466</v>
      </c>
      <c r="G98" s="7" t="s">
        <v>295</v>
      </c>
      <c r="H98" s="7" t="s">
        <v>475</v>
      </c>
      <c r="I98" s="7" t="s">
        <v>476</v>
      </c>
      <c r="J98" s="22" t="n">
        <v>175.929</v>
      </c>
      <c r="K98" s="23"/>
      <c r="L98" s="24" t="str">
        <f aca="false">IF(K98="","",K98-J98)</f>
        <v/>
      </c>
      <c r="M98" s="22" t="n">
        <v>5.489</v>
      </c>
      <c r="N98" s="8" t="n">
        <v>965.67</v>
      </c>
      <c r="O98" s="9"/>
      <c r="P98" s="10" t="str">
        <f aca="false">IF(O98="","",O98-N98)</f>
        <v/>
      </c>
    </row>
    <row r="99" customFormat="false" ht="15" hidden="false" customHeight="false" outlineLevel="0" collapsed="false">
      <c r="A99" s="7" t="n">
        <v>5779</v>
      </c>
      <c r="B99" s="7" t="s">
        <v>61</v>
      </c>
      <c r="C99" s="7" t="s">
        <v>216</v>
      </c>
      <c r="D99" s="7" t="s">
        <v>91</v>
      </c>
      <c r="E99" s="7" t="s">
        <v>92</v>
      </c>
      <c r="F99" s="7" t="s">
        <v>477</v>
      </c>
      <c r="G99" s="7" t="s">
        <v>295</v>
      </c>
      <c r="H99" s="7" t="s">
        <v>478</v>
      </c>
      <c r="I99" s="7" t="s">
        <v>479</v>
      </c>
      <c r="J99" s="22" t="n">
        <v>134.954</v>
      </c>
      <c r="K99" s="23"/>
      <c r="L99" s="24" t="str">
        <f aca="false">IF(K99="","",K99-J99)</f>
        <v/>
      </c>
      <c r="M99" s="22" t="n">
        <v>5.649</v>
      </c>
      <c r="N99" s="8" t="n">
        <v>762.36</v>
      </c>
      <c r="O99" s="9"/>
      <c r="P99" s="10" t="str">
        <f aca="false">IF(O99="","",O99-N99)</f>
        <v/>
      </c>
    </row>
    <row r="100" customFormat="false" ht="15" hidden="false" customHeight="false" outlineLevel="0" collapsed="false">
      <c r="A100" s="7" t="n">
        <v>5779</v>
      </c>
      <c r="B100" s="7" t="s">
        <v>61</v>
      </c>
      <c r="C100" s="7" t="s">
        <v>216</v>
      </c>
      <c r="D100" s="7" t="s">
        <v>91</v>
      </c>
      <c r="E100" s="7" t="s">
        <v>92</v>
      </c>
      <c r="F100" s="7" t="s">
        <v>480</v>
      </c>
      <c r="G100" s="7" t="s">
        <v>295</v>
      </c>
      <c r="H100" s="7" t="s">
        <v>481</v>
      </c>
      <c r="I100" s="7" t="s">
        <v>482</v>
      </c>
      <c r="J100" s="22" t="n">
        <v>117.384</v>
      </c>
      <c r="K100" s="23"/>
      <c r="L100" s="24" t="str">
        <f aca="false">IF(K100="","",K100-J100)</f>
        <v/>
      </c>
      <c r="M100" s="22" t="n">
        <v>5.589</v>
      </c>
      <c r="N100" s="8" t="n">
        <v>656.06</v>
      </c>
      <c r="O100" s="9"/>
      <c r="P100" s="10" t="str">
        <f aca="false">IF(O100="","",O100-N100)</f>
        <v/>
      </c>
    </row>
    <row r="101" customFormat="false" ht="15" hidden="false" customHeight="false" outlineLevel="0" collapsed="false">
      <c r="A101" s="7" t="n">
        <v>5779</v>
      </c>
      <c r="B101" s="7" t="s">
        <v>61</v>
      </c>
      <c r="C101" s="7" t="s">
        <v>219</v>
      </c>
      <c r="D101" s="7" t="s">
        <v>91</v>
      </c>
      <c r="E101" s="7" t="s">
        <v>92</v>
      </c>
      <c r="F101" s="7" t="s">
        <v>483</v>
      </c>
      <c r="G101" s="7" t="s">
        <v>295</v>
      </c>
      <c r="H101" s="7" t="s">
        <v>484</v>
      </c>
      <c r="I101" s="7" t="s">
        <v>485</v>
      </c>
      <c r="J101" s="22" t="n">
        <v>50.319</v>
      </c>
      <c r="K101" s="23"/>
      <c r="L101" s="24" t="str">
        <f aca="false">IF(K101="","",K101-J101)</f>
        <v/>
      </c>
      <c r="M101" s="22" t="n">
        <v>5.489</v>
      </c>
      <c r="N101" s="8" t="n">
        <v>276.2</v>
      </c>
      <c r="O101" s="9"/>
      <c r="P101" s="10" t="str">
        <f aca="false">IF(O101="","",O101-N101)</f>
        <v/>
      </c>
    </row>
    <row r="102" customFormat="false" ht="15" hidden="false" customHeight="false" outlineLevel="0" collapsed="false">
      <c r="A102" s="7" t="n">
        <v>5779</v>
      </c>
      <c r="B102" s="7" t="s">
        <v>61</v>
      </c>
      <c r="C102" s="7" t="s">
        <v>219</v>
      </c>
      <c r="D102" s="7" t="s">
        <v>91</v>
      </c>
      <c r="E102" s="7" t="s">
        <v>92</v>
      </c>
      <c r="F102" s="7" t="s">
        <v>483</v>
      </c>
      <c r="G102" s="7" t="s">
        <v>295</v>
      </c>
      <c r="H102" s="7" t="s">
        <v>486</v>
      </c>
      <c r="I102" s="7" t="s">
        <v>487</v>
      </c>
      <c r="J102" s="22" t="n">
        <v>48.07</v>
      </c>
      <c r="K102" s="23"/>
      <c r="L102" s="24" t="str">
        <f aca="false">IF(K102="","",K102-J102)</f>
        <v/>
      </c>
      <c r="M102" s="22" t="n">
        <v>5.389</v>
      </c>
      <c r="N102" s="8" t="n">
        <v>259.05</v>
      </c>
      <c r="O102" s="9"/>
      <c r="P102" s="10" t="str">
        <f aca="false">IF(O102="","",O102-N102)</f>
        <v/>
      </c>
    </row>
    <row r="103" customFormat="false" ht="15" hidden="false" customHeight="false" outlineLevel="0" collapsed="false">
      <c r="A103" s="7" t="n">
        <v>5779</v>
      </c>
      <c r="B103" s="7" t="s">
        <v>61</v>
      </c>
      <c r="C103" s="7" t="s">
        <v>219</v>
      </c>
      <c r="D103" s="7" t="s">
        <v>91</v>
      </c>
      <c r="E103" s="7" t="s">
        <v>92</v>
      </c>
      <c r="F103" s="7" t="s">
        <v>464</v>
      </c>
      <c r="G103" s="7" t="s">
        <v>295</v>
      </c>
      <c r="H103" s="7" t="s">
        <v>488</v>
      </c>
      <c r="I103" s="7" t="s">
        <v>489</v>
      </c>
      <c r="J103" s="22" t="n">
        <v>145.078</v>
      </c>
      <c r="K103" s="23"/>
      <c r="L103" s="24" t="str">
        <f aca="false">IF(K103="","",K103-J103)</f>
        <v/>
      </c>
      <c r="M103" s="22" t="n">
        <v>5.489</v>
      </c>
      <c r="N103" s="8" t="n">
        <v>796.33</v>
      </c>
      <c r="O103" s="9"/>
      <c r="P103" s="10" t="str">
        <f aca="false">IF(O103="","",O103-N103)</f>
        <v/>
      </c>
    </row>
    <row r="104" customFormat="false" ht="15" hidden="false" customHeight="false" outlineLevel="0" collapsed="false">
      <c r="A104" s="7" t="n">
        <v>5779</v>
      </c>
      <c r="B104" s="7" t="s">
        <v>61</v>
      </c>
      <c r="C104" s="7" t="s">
        <v>219</v>
      </c>
      <c r="D104" s="7" t="s">
        <v>91</v>
      </c>
      <c r="E104" s="7" t="s">
        <v>92</v>
      </c>
      <c r="F104" s="7" t="s">
        <v>466</v>
      </c>
      <c r="G104" s="7" t="s">
        <v>295</v>
      </c>
      <c r="H104" s="7" t="s">
        <v>478</v>
      </c>
      <c r="I104" s="7" t="s">
        <v>490</v>
      </c>
      <c r="J104" s="22" t="n">
        <v>99.039</v>
      </c>
      <c r="K104" s="23"/>
      <c r="L104" s="24" t="str">
        <f aca="false">IF(K104="","",K104-J104)</f>
        <v/>
      </c>
      <c r="M104" s="22" t="n">
        <v>5.549</v>
      </c>
      <c r="N104" s="8" t="n">
        <v>549.57</v>
      </c>
      <c r="O104" s="9"/>
      <c r="P104" s="10" t="str">
        <f aca="false">IF(O104="","",O104-N104)</f>
        <v/>
      </c>
    </row>
    <row r="105" customFormat="false" ht="15" hidden="false" customHeight="false" outlineLevel="0" collapsed="false">
      <c r="A105" s="7" t="n">
        <v>5780</v>
      </c>
      <c r="B105" s="7" t="s">
        <v>75</v>
      </c>
      <c r="C105" s="7" t="s">
        <v>220</v>
      </c>
      <c r="D105" s="7" t="s">
        <v>76</v>
      </c>
      <c r="E105" s="7" t="s">
        <v>77</v>
      </c>
      <c r="F105" s="7" t="s">
        <v>480</v>
      </c>
      <c r="G105" s="7" t="s">
        <v>295</v>
      </c>
      <c r="H105" s="7" t="s">
        <v>491</v>
      </c>
      <c r="I105" s="7" t="s">
        <v>492</v>
      </c>
      <c r="J105" s="22" t="n">
        <v>153.16</v>
      </c>
      <c r="K105" s="23"/>
      <c r="L105" s="24" t="str">
        <f aca="false">IF(K105="","",K105-J105)</f>
        <v/>
      </c>
      <c r="M105" s="22" t="n">
        <v>5.509</v>
      </c>
      <c r="N105" s="8" t="n">
        <v>843.76</v>
      </c>
      <c r="O105" s="9"/>
      <c r="P105" s="10" t="str">
        <f aca="false">IF(O105="","",O105-N105)</f>
        <v/>
      </c>
    </row>
    <row r="106" customFormat="false" ht="15" hidden="false" customHeight="false" outlineLevel="0" collapsed="false">
      <c r="A106" s="7" t="n">
        <v>5781</v>
      </c>
      <c r="B106" s="7" t="s">
        <v>61</v>
      </c>
      <c r="C106" s="7" t="s">
        <v>226</v>
      </c>
      <c r="D106" s="7" t="s">
        <v>66</v>
      </c>
      <c r="E106" s="7" t="s">
        <v>93</v>
      </c>
      <c r="F106" s="7" t="s">
        <v>466</v>
      </c>
      <c r="G106" s="7" t="s">
        <v>295</v>
      </c>
      <c r="H106" s="7" t="s">
        <v>493</v>
      </c>
      <c r="I106" s="7" t="s">
        <v>494</v>
      </c>
      <c r="J106" s="22" t="n">
        <v>53.008</v>
      </c>
      <c r="K106" s="23"/>
      <c r="L106" s="24" t="str">
        <f aca="false">IF(K106="","",K106-J106)</f>
        <v/>
      </c>
      <c r="M106" s="22" t="n">
        <v>5.389</v>
      </c>
      <c r="N106" s="8" t="n">
        <v>285.66</v>
      </c>
      <c r="O106" s="9"/>
      <c r="P106" s="10" t="str">
        <f aca="false">IF(O106="","",O106-N106)</f>
        <v/>
      </c>
    </row>
    <row r="107" customFormat="false" ht="15" hidden="false" customHeight="false" outlineLevel="0" collapsed="false">
      <c r="A107" s="7" t="n">
        <v>5781</v>
      </c>
      <c r="B107" s="7" t="s">
        <v>61</v>
      </c>
      <c r="C107" s="7" t="s">
        <v>226</v>
      </c>
      <c r="D107" s="7" t="s">
        <v>66</v>
      </c>
      <c r="E107" s="7" t="s">
        <v>93</v>
      </c>
      <c r="F107" s="7" t="s">
        <v>466</v>
      </c>
      <c r="G107" s="7" t="s">
        <v>295</v>
      </c>
      <c r="H107" s="7" t="s">
        <v>495</v>
      </c>
      <c r="I107" s="7" t="s">
        <v>496</v>
      </c>
      <c r="J107" s="22" t="n">
        <v>79.004</v>
      </c>
      <c r="K107" s="23"/>
      <c r="L107" s="24" t="str">
        <f aca="false">IF(K107="","",K107-J107)</f>
        <v/>
      </c>
      <c r="M107" s="22" t="n">
        <v>5.689</v>
      </c>
      <c r="N107" s="8" t="n">
        <v>449.45</v>
      </c>
      <c r="O107" s="9"/>
      <c r="P107" s="10" t="str">
        <f aca="false">IF(O107="","",O107-N107)</f>
        <v/>
      </c>
    </row>
    <row r="108" customFormat="false" ht="15" hidden="false" customHeight="false" outlineLevel="0" collapsed="false">
      <c r="A108" s="7" t="n">
        <v>5781</v>
      </c>
      <c r="B108" s="7" t="s">
        <v>61</v>
      </c>
      <c r="C108" s="7" t="s">
        <v>226</v>
      </c>
      <c r="D108" s="7" t="s">
        <v>66</v>
      </c>
      <c r="E108" s="7" t="s">
        <v>93</v>
      </c>
      <c r="F108" s="7" t="s">
        <v>477</v>
      </c>
      <c r="G108" s="7" t="s">
        <v>295</v>
      </c>
      <c r="H108" s="7" t="s">
        <v>497</v>
      </c>
      <c r="I108" s="7" t="s">
        <v>498</v>
      </c>
      <c r="J108" s="22" t="n">
        <v>113.002</v>
      </c>
      <c r="K108" s="23"/>
      <c r="L108" s="24" t="str">
        <f aca="false">IF(K108="","",K108-J108)</f>
        <v/>
      </c>
      <c r="M108" s="22" t="n">
        <v>5.589</v>
      </c>
      <c r="N108" s="8" t="n">
        <v>631.57</v>
      </c>
      <c r="O108" s="9"/>
      <c r="P108" s="10" t="str">
        <f aca="false">IF(O108="","",O108-N108)</f>
        <v/>
      </c>
    </row>
    <row r="109" customFormat="false" ht="15" hidden="false" customHeight="false" outlineLevel="0" collapsed="false">
      <c r="A109" s="7" t="n">
        <v>5781</v>
      </c>
      <c r="B109" s="7" t="s">
        <v>61</v>
      </c>
      <c r="C109" s="7" t="s">
        <v>228</v>
      </c>
      <c r="D109" s="7" t="s">
        <v>66</v>
      </c>
      <c r="E109" s="7" t="s">
        <v>93</v>
      </c>
      <c r="F109" s="7" t="s">
        <v>499</v>
      </c>
      <c r="G109" s="7" t="s">
        <v>295</v>
      </c>
      <c r="H109" s="7" t="s">
        <v>500</v>
      </c>
      <c r="I109" s="7" t="s">
        <v>501</v>
      </c>
      <c r="J109" s="22" t="n">
        <v>130.041</v>
      </c>
      <c r="K109" s="23"/>
      <c r="L109" s="24" t="str">
        <f aca="false">IF(K109="","",K109-J109)</f>
        <v/>
      </c>
      <c r="M109" s="22" t="n">
        <v>5.589</v>
      </c>
      <c r="N109" s="8" t="n">
        <v>726.8</v>
      </c>
      <c r="O109" s="9"/>
      <c r="P109" s="10" t="str">
        <f aca="false">IF(O109="","",O109-N109)</f>
        <v/>
      </c>
    </row>
    <row r="110" customFormat="false" ht="15" hidden="false" customHeight="false" outlineLevel="0" collapsed="false">
      <c r="A110" s="7" t="n">
        <v>5781</v>
      </c>
      <c r="B110" s="7" t="s">
        <v>61</v>
      </c>
      <c r="C110" s="7" t="s">
        <v>228</v>
      </c>
      <c r="D110" s="7" t="s">
        <v>66</v>
      </c>
      <c r="E110" s="7" t="s">
        <v>93</v>
      </c>
      <c r="F110" s="7" t="s">
        <v>502</v>
      </c>
      <c r="G110" s="7" t="s">
        <v>295</v>
      </c>
      <c r="H110" s="7" t="s">
        <v>503</v>
      </c>
      <c r="I110" s="7" t="s">
        <v>504</v>
      </c>
      <c r="J110" s="22" t="n">
        <v>50.006</v>
      </c>
      <c r="K110" s="23"/>
      <c r="L110" s="24" t="str">
        <f aca="false">IF(K110="","",K110-J110)</f>
        <v/>
      </c>
      <c r="M110" s="22" t="n">
        <v>5.849</v>
      </c>
      <c r="N110" s="8" t="n">
        <v>292.49</v>
      </c>
      <c r="O110" s="9"/>
      <c r="P110" s="10" t="str">
        <f aca="false">IF(O110="","",O110-N110)</f>
        <v/>
      </c>
    </row>
    <row r="111" customFormat="false" ht="15" hidden="false" customHeight="false" outlineLevel="0" collapsed="false">
      <c r="A111" s="7" t="n">
        <v>5782</v>
      </c>
      <c r="B111" s="7" t="s">
        <v>61</v>
      </c>
      <c r="C111" s="7" t="s">
        <v>229</v>
      </c>
      <c r="D111" s="7" t="s">
        <v>80</v>
      </c>
      <c r="E111" s="7" t="s">
        <v>81</v>
      </c>
      <c r="F111" s="7" t="s">
        <v>477</v>
      </c>
      <c r="G111" s="7" t="s">
        <v>295</v>
      </c>
      <c r="H111" s="7" t="s">
        <v>320</v>
      </c>
      <c r="I111" s="7" t="s">
        <v>505</v>
      </c>
      <c r="J111" s="22" t="n">
        <v>133.259</v>
      </c>
      <c r="K111" s="23"/>
      <c r="L111" s="24" t="str">
        <f aca="false">IF(K111="","",K111-J111)</f>
        <v/>
      </c>
      <c r="M111" s="22" t="n">
        <v>5.489</v>
      </c>
      <c r="N111" s="8" t="n">
        <v>731.46</v>
      </c>
      <c r="O111" s="9"/>
      <c r="P111" s="10" t="str">
        <f aca="false">IF(O111="","",O111-N111)</f>
        <v/>
      </c>
    </row>
    <row r="112" customFormat="false" ht="15" hidden="false" customHeight="false" outlineLevel="0" collapsed="false">
      <c r="A112" s="7" t="n">
        <v>5782</v>
      </c>
      <c r="B112" s="7" t="s">
        <v>61</v>
      </c>
      <c r="C112" s="7" t="s">
        <v>229</v>
      </c>
      <c r="D112" s="7" t="s">
        <v>80</v>
      </c>
      <c r="E112" s="7" t="s">
        <v>81</v>
      </c>
      <c r="F112" s="7" t="s">
        <v>480</v>
      </c>
      <c r="G112" s="7" t="s">
        <v>295</v>
      </c>
      <c r="H112" s="7" t="s">
        <v>506</v>
      </c>
      <c r="I112" s="7" t="s">
        <v>507</v>
      </c>
      <c r="J112" s="22" t="n">
        <v>128.939</v>
      </c>
      <c r="K112" s="23"/>
      <c r="L112" s="24" t="str">
        <f aca="false">IF(K112="","",K112-J112)</f>
        <v/>
      </c>
      <c r="M112" s="22" t="n">
        <v>5.789</v>
      </c>
      <c r="N112" s="8" t="n">
        <v>746.43</v>
      </c>
      <c r="O112" s="9"/>
      <c r="P112" s="10" t="str">
        <f aca="false">IF(O112="","",O112-N112)</f>
        <v/>
      </c>
    </row>
    <row r="113" customFormat="false" ht="15" hidden="false" customHeight="false" outlineLevel="0" collapsed="false">
      <c r="A113" s="7" t="n">
        <v>5782</v>
      </c>
      <c r="B113" s="7" t="s">
        <v>61</v>
      </c>
      <c r="C113" s="7" t="s">
        <v>230</v>
      </c>
      <c r="D113" s="7" t="s">
        <v>80</v>
      </c>
      <c r="E113" s="7" t="s">
        <v>81</v>
      </c>
      <c r="F113" s="7" t="s">
        <v>508</v>
      </c>
      <c r="G113" s="7" t="s">
        <v>295</v>
      </c>
      <c r="H113" s="7" t="s">
        <v>509</v>
      </c>
      <c r="I113" s="7" t="s">
        <v>510</v>
      </c>
      <c r="J113" s="22" t="n">
        <v>136.849</v>
      </c>
      <c r="K113" s="23"/>
      <c r="L113" s="24" t="str">
        <f aca="false">IF(K113="","",K113-J113)</f>
        <v/>
      </c>
      <c r="M113" s="22" t="n">
        <v>6.089</v>
      </c>
      <c r="N113" s="8" t="n">
        <v>833.27</v>
      </c>
      <c r="O113" s="9"/>
      <c r="P113" s="10" t="str">
        <f aca="false">IF(O113="","",O113-N113)</f>
        <v/>
      </c>
    </row>
    <row r="114" customFormat="false" ht="15" hidden="false" customHeight="false" outlineLevel="0" collapsed="false">
      <c r="A114" s="7" t="n">
        <v>5782</v>
      </c>
      <c r="B114" s="7" t="s">
        <v>61</v>
      </c>
      <c r="C114" s="7" t="s">
        <v>230</v>
      </c>
      <c r="D114" s="7" t="s">
        <v>80</v>
      </c>
      <c r="E114" s="7" t="s">
        <v>81</v>
      </c>
      <c r="F114" s="7" t="s">
        <v>502</v>
      </c>
      <c r="G114" s="7" t="s">
        <v>295</v>
      </c>
      <c r="H114" s="7" t="s">
        <v>511</v>
      </c>
      <c r="I114" s="7" t="s">
        <v>512</v>
      </c>
      <c r="J114" s="22" t="n">
        <v>183.461</v>
      </c>
      <c r="K114" s="23"/>
      <c r="L114" s="24" t="str">
        <f aca="false">IF(K114="","",K114-J114)</f>
        <v/>
      </c>
      <c r="M114" s="22" t="n">
        <v>5.399</v>
      </c>
      <c r="N114" s="8" t="n">
        <v>990.51</v>
      </c>
      <c r="O114" s="9"/>
      <c r="P114" s="10" t="str">
        <f aca="false">IF(O114="","",O114-N114)</f>
        <v/>
      </c>
    </row>
    <row r="115" customFormat="false" ht="15" hidden="false" customHeight="false" outlineLevel="0" collapsed="false">
      <c r="A115" s="7" t="n">
        <v>5783</v>
      </c>
      <c r="B115" s="7" t="s">
        <v>75</v>
      </c>
      <c r="C115" s="7" t="s">
        <v>233</v>
      </c>
      <c r="D115" s="7" t="s">
        <v>72</v>
      </c>
      <c r="E115" s="7" t="s">
        <v>84</v>
      </c>
      <c r="F115" s="7" t="s">
        <v>438</v>
      </c>
      <c r="G115" s="7" t="s">
        <v>295</v>
      </c>
      <c r="H115" s="7" t="s">
        <v>320</v>
      </c>
      <c r="I115" s="7" t="s">
        <v>513</v>
      </c>
      <c r="J115" s="22" t="n">
        <v>146.818</v>
      </c>
      <c r="K115" s="23"/>
      <c r="L115" s="24" t="str">
        <f aca="false">IF(K115="","",K115-J115)</f>
        <v/>
      </c>
      <c r="M115" s="22" t="n">
        <v>5.449</v>
      </c>
      <c r="N115" s="8" t="n">
        <v>800.01</v>
      </c>
      <c r="O115" s="9"/>
      <c r="P115" s="10" t="str">
        <f aca="false">IF(O115="","",O115-N115)</f>
        <v/>
      </c>
    </row>
    <row r="116" customFormat="false" ht="15" hidden="false" customHeight="false" outlineLevel="0" collapsed="false">
      <c r="A116" s="7" t="n">
        <v>5783</v>
      </c>
      <c r="B116" s="7" t="s">
        <v>75</v>
      </c>
      <c r="C116" s="7" t="s">
        <v>233</v>
      </c>
      <c r="D116" s="7" t="s">
        <v>72</v>
      </c>
      <c r="E116" s="7" t="s">
        <v>84</v>
      </c>
      <c r="F116" s="7" t="s">
        <v>449</v>
      </c>
      <c r="G116" s="7" t="s">
        <v>295</v>
      </c>
      <c r="H116" s="7" t="s">
        <v>514</v>
      </c>
      <c r="I116" s="7" t="s">
        <v>515</v>
      </c>
      <c r="J116" s="22" t="n">
        <v>182.564</v>
      </c>
      <c r="K116" s="23"/>
      <c r="L116" s="24" t="str">
        <f aca="false">IF(K116="","",K116-J116)</f>
        <v/>
      </c>
      <c r="M116" s="22" t="n">
        <v>5.889</v>
      </c>
      <c r="N116" s="8" t="n">
        <v>1075.12</v>
      </c>
      <c r="O116" s="9"/>
      <c r="P116" s="10" t="str">
        <f aca="false">IF(O116="","",O116-N116)</f>
        <v/>
      </c>
    </row>
    <row r="117" customFormat="false" ht="15" hidden="false" customHeight="false" outlineLevel="0" collapsed="false">
      <c r="A117" s="7" t="n">
        <v>5783</v>
      </c>
      <c r="B117" s="7" t="s">
        <v>75</v>
      </c>
      <c r="C117" s="7" t="s">
        <v>234</v>
      </c>
      <c r="D117" s="7" t="s">
        <v>72</v>
      </c>
      <c r="E117" s="7" t="s">
        <v>84</v>
      </c>
      <c r="F117" s="7" t="s">
        <v>508</v>
      </c>
      <c r="G117" s="7" t="s">
        <v>295</v>
      </c>
      <c r="H117" s="7" t="s">
        <v>299</v>
      </c>
      <c r="I117" s="7" t="s">
        <v>516</v>
      </c>
      <c r="J117" s="22" t="n">
        <v>198</v>
      </c>
      <c r="K117" s="23"/>
      <c r="L117" s="24" t="str">
        <f aca="false">IF(K117="","",K117-J117)</f>
        <v/>
      </c>
      <c r="M117" s="22" t="n">
        <v>5.879</v>
      </c>
      <c r="N117" s="8" t="n">
        <v>1164.04</v>
      </c>
      <c r="O117" s="9"/>
      <c r="P117" s="10" t="str">
        <f aca="false">IF(O117="","",O117-N117)</f>
        <v/>
      </c>
    </row>
    <row r="118" customFormat="false" ht="15" hidden="false" customHeight="false" outlineLevel="0" collapsed="false">
      <c r="A118" s="7" t="n">
        <v>5783</v>
      </c>
      <c r="B118" s="7" t="s">
        <v>75</v>
      </c>
      <c r="C118" s="7" t="s">
        <v>234</v>
      </c>
      <c r="D118" s="7" t="s">
        <v>72</v>
      </c>
      <c r="E118" s="7" t="s">
        <v>84</v>
      </c>
      <c r="F118" s="7" t="s">
        <v>517</v>
      </c>
      <c r="G118" s="7" t="s">
        <v>295</v>
      </c>
      <c r="H118" s="7" t="s">
        <v>320</v>
      </c>
      <c r="I118" s="7" t="s">
        <v>518</v>
      </c>
      <c r="J118" s="22" t="n">
        <v>88.604</v>
      </c>
      <c r="K118" s="23"/>
      <c r="L118" s="24" t="str">
        <f aca="false">IF(K118="","",K118-J118)</f>
        <v/>
      </c>
      <c r="M118" s="22" t="n">
        <v>5.649</v>
      </c>
      <c r="N118" s="8" t="n">
        <v>500.52</v>
      </c>
      <c r="O118" s="9"/>
      <c r="P118" s="10" t="str">
        <f aca="false">IF(O118="","",O118-N118)</f>
        <v/>
      </c>
    </row>
    <row r="119" customFormat="false" ht="15" hidden="false" customHeight="false" outlineLevel="0" collapsed="false">
      <c r="A119" s="7" t="n">
        <v>5784</v>
      </c>
      <c r="B119" s="7" t="s">
        <v>75</v>
      </c>
      <c r="C119" s="7" t="s">
        <v>236</v>
      </c>
      <c r="D119" s="7" t="s">
        <v>78</v>
      </c>
      <c r="E119" s="7" t="s">
        <v>67</v>
      </c>
      <c r="F119" s="7" t="s">
        <v>483</v>
      </c>
      <c r="G119" s="7" t="s">
        <v>295</v>
      </c>
      <c r="H119" s="7" t="s">
        <v>296</v>
      </c>
      <c r="I119" s="7" t="s">
        <v>519</v>
      </c>
      <c r="J119" s="22" t="n">
        <v>68.344</v>
      </c>
      <c r="K119" s="23"/>
      <c r="L119" s="24" t="str">
        <f aca="false">IF(K119="","",K119-J119)</f>
        <v/>
      </c>
      <c r="M119" s="22" t="n">
        <v>5.489</v>
      </c>
      <c r="N119" s="8" t="n">
        <v>375.14</v>
      </c>
      <c r="O119" s="9"/>
      <c r="P119" s="10" t="str">
        <f aca="false">IF(O119="","",O119-N119)</f>
        <v/>
      </c>
    </row>
    <row r="120" customFormat="false" ht="15" hidden="false" customHeight="false" outlineLevel="0" collapsed="false">
      <c r="A120" s="7" t="n">
        <v>5784</v>
      </c>
      <c r="B120" s="7" t="s">
        <v>75</v>
      </c>
      <c r="C120" s="7" t="s">
        <v>236</v>
      </c>
      <c r="D120" s="7" t="s">
        <v>78</v>
      </c>
      <c r="E120" s="7" t="s">
        <v>67</v>
      </c>
      <c r="F120" s="7" t="s">
        <v>464</v>
      </c>
      <c r="G120" s="7" t="s">
        <v>295</v>
      </c>
      <c r="H120" s="7" t="s">
        <v>320</v>
      </c>
      <c r="I120" s="7" t="s">
        <v>520</v>
      </c>
      <c r="J120" s="22" t="n">
        <v>165.199</v>
      </c>
      <c r="K120" s="23"/>
      <c r="L120" s="24" t="str">
        <f aca="false">IF(K120="","",K120-J120)</f>
        <v/>
      </c>
      <c r="M120" s="22" t="n">
        <v>5.389</v>
      </c>
      <c r="N120" s="8" t="n">
        <v>890.26</v>
      </c>
      <c r="O120" s="9"/>
      <c r="P120" s="10" t="str">
        <f aca="false">IF(O120="","",O120-N120)</f>
        <v/>
      </c>
    </row>
    <row r="121" customFormat="false" ht="15" hidden="false" customHeight="false" outlineLevel="0" collapsed="false">
      <c r="A121" s="7" t="n">
        <v>5784</v>
      </c>
      <c r="B121" s="7" t="s">
        <v>75</v>
      </c>
      <c r="C121" s="7" t="s">
        <v>236</v>
      </c>
      <c r="D121" s="7" t="s">
        <v>78</v>
      </c>
      <c r="E121" s="7" t="s">
        <v>67</v>
      </c>
      <c r="F121" s="7" t="s">
        <v>466</v>
      </c>
      <c r="G121" s="7" t="s">
        <v>295</v>
      </c>
      <c r="H121" s="7" t="s">
        <v>521</v>
      </c>
      <c r="I121" s="7" t="s">
        <v>522</v>
      </c>
      <c r="J121" s="22" t="n">
        <v>102.036</v>
      </c>
      <c r="K121" s="23"/>
      <c r="L121" s="24" t="str">
        <f aca="false">IF(K121="","",K121-J121)</f>
        <v/>
      </c>
      <c r="M121" s="22" t="n">
        <v>5.449</v>
      </c>
      <c r="N121" s="8" t="n">
        <v>555.99</v>
      </c>
      <c r="O121" s="9"/>
      <c r="P121" s="10" t="str">
        <f aca="false">IF(O121="","",O121-N121)</f>
        <v/>
      </c>
    </row>
    <row r="122" customFormat="false" ht="15" hidden="false" customHeight="false" outlineLevel="0" collapsed="false">
      <c r="A122" s="7" t="n">
        <v>5784</v>
      </c>
      <c r="B122" s="7" t="s">
        <v>75</v>
      </c>
      <c r="C122" s="7" t="s">
        <v>237</v>
      </c>
      <c r="D122" s="7" t="s">
        <v>78</v>
      </c>
      <c r="E122" s="7" t="s">
        <v>67</v>
      </c>
      <c r="F122" s="7" t="s">
        <v>477</v>
      </c>
      <c r="G122" s="7" t="s">
        <v>295</v>
      </c>
      <c r="H122" s="7" t="s">
        <v>523</v>
      </c>
      <c r="I122" s="7" t="s">
        <v>524</v>
      </c>
      <c r="J122" s="22" t="n">
        <v>143.381</v>
      </c>
      <c r="K122" s="23"/>
      <c r="L122" s="24" t="str">
        <f aca="false">IF(K122="","",K122-J122)</f>
        <v/>
      </c>
      <c r="M122" s="22" t="n">
        <v>5.289</v>
      </c>
      <c r="N122" s="8" t="n">
        <v>758.34</v>
      </c>
      <c r="O122" s="9"/>
      <c r="P122" s="10" t="str">
        <f aca="false">IF(O122="","",O122-N122)</f>
        <v/>
      </c>
    </row>
    <row r="123" customFormat="false" ht="15" hidden="false" customHeight="false" outlineLevel="0" collapsed="false">
      <c r="A123" s="7" t="n">
        <v>5784</v>
      </c>
      <c r="B123" s="7" t="s">
        <v>75</v>
      </c>
      <c r="C123" s="7" t="s">
        <v>237</v>
      </c>
      <c r="D123" s="7" t="s">
        <v>78</v>
      </c>
      <c r="E123" s="7" t="s">
        <v>67</v>
      </c>
      <c r="F123" s="7" t="s">
        <v>525</v>
      </c>
      <c r="G123" s="7" t="s">
        <v>295</v>
      </c>
      <c r="H123" s="7" t="s">
        <v>526</v>
      </c>
      <c r="I123" s="7" t="s">
        <v>527</v>
      </c>
      <c r="J123" s="22" t="n">
        <v>67.37</v>
      </c>
      <c r="K123" s="23"/>
      <c r="L123" s="24" t="str">
        <f aca="false">IF(K123="","",K123-J123)</f>
        <v/>
      </c>
      <c r="M123" s="22" t="n">
        <v>5.789</v>
      </c>
      <c r="N123" s="8" t="n">
        <v>390</v>
      </c>
      <c r="O123" s="9"/>
      <c r="P123" s="10" t="str">
        <f aca="false">IF(O123="","",O123-N123)</f>
        <v/>
      </c>
    </row>
    <row r="124" customFormat="false" ht="15" hidden="false" customHeight="false" outlineLevel="0" collapsed="false">
      <c r="A124" s="7" t="n">
        <v>5784</v>
      </c>
      <c r="B124" s="7" t="s">
        <v>75</v>
      </c>
      <c r="C124" s="7" t="s">
        <v>237</v>
      </c>
      <c r="D124" s="7" t="s">
        <v>78</v>
      </c>
      <c r="E124" s="7" t="s">
        <v>67</v>
      </c>
      <c r="F124" s="7" t="s">
        <v>499</v>
      </c>
      <c r="G124" s="7" t="s">
        <v>295</v>
      </c>
      <c r="H124" s="7" t="s">
        <v>528</v>
      </c>
      <c r="I124" s="7" t="s">
        <v>529</v>
      </c>
      <c r="J124" s="22" t="n">
        <v>127.621</v>
      </c>
      <c r="K124" s="23"/>
      <c r="L124" s="24" t="str">
        <f aca="false">IF(K124="","",K124-J124)</f>
        <v/>
      </c>
      <c r="M124" s="22" t="n">
        <v>6.249</v>
      </c>
      <c r="N124" s="8" t="n">
        <v>797.5</v>
      </c>
      <c r="O124" s="9"/>
      <c r="P124" s="10" t="str">
        <f aca="false">IF(O124="","",O124-N124)</f>
        <v/>
      </c>
    </row>
    <row r="125" customFormat="false" ht="15" hidden="false" customHeight="false" outlineLevel="0" collapsed="false">
      <c r="A125" s="7" t="n">
        <v>5784</v>
      </c>
      <c r="B125" s="7" t="s">
        <v>75</v>
      </c>
      <c r="C125" s="7" t="s">
        <v>239</v>
      </c>
      <c r="D125" s="7" t="s">
        <v>78</v>
      </c>
      <c r="E125" s="7" t="s">
        <v>67</v>
      </c>
      <c r="F125" s="7" t="s">
        <v>530</v>
      </c>
      <c r="G125" s="7" t="s">
        <v>295</v>
      </c>
      <c r="H125" s="7" t="s">
        <v>531</v>
      </c>
      <c r="I125" s="7" t="s">
        <v>532</v>
      </c>
      <c r="J125" s="22" t="n">
        <v>137.175</v>
      </c>
      <c r="K125" s="23"/>
      <c r="L125" s="24" t="str">
        <f aca="false">IF(K125="","",K125-J125)</f>
        <v/>
      </c>
      <c r="M125" s="22" t="n">
        <v>5.669</v>
      </c>
      <c r="N125" s="8" t="n">
        <v>777.65</v>
      </c>
      <c r="O125" s="9"/>
      <c r="P125" s="10" t="str">
        <f aca="false">IF(O125="","",O125-N125)</f>
        <v/>
      </c>
    </row>
    <row r="126" customFormat="false" ht="15" hidden="false" customHeight="false" outlineLevel="0" collapsed="false">
      <c r="A126" s="7" t="n">
        <v>5784</v>
      </c>
      <c r="B126" s="7" t="s">
        <v>75</v>
      </c>
      <c r="C126" s="7" t="s">
        <v>239</v>
      </c>
      <c r="D126" s="7" t="s">
        <v>78</v>
      </c>
      <c r="E126" s="7" t="s">
        <v>67</v>
      </c>
      <c r="F126" s="7" t="s">
        <v>502</v>
      </c>
      <c r="G126" s="7" t="s">
        <v>295</v>
      </c>
      <c r="H126" s="7" t="s">
        <v>533</v>
      </c>
      <c r="I126" s="7" t="s">
        <v>534</v>
      </c>
      <c r="J126" s="22" t="n">
        <v>174.439</v>
      </c>
      <c r="K126" s="23"/>
      <c r="L126" s="24" t="str">
        <f aca="false">IF(K126="","",K126-J126)</f>
        <v/>
      </c>
      <c r="M126" s="22" t="n">
        <v>5.749</v>
      </c>
      <c r="N126" s="8" t="n">
        <v>1002.85</v>
      </c>
      <c r="O126" s="9"/>
      <c r="P126" s="10" t="str">
        <f aca="false">IF(O126="","",O126-N126)</f>
        <v/>
      </c>
    </row>
    <row r="127" customFormat="false" ht="15" hidden="false" customHeight="false" outlineLevel="0" collapsed="false">
      <c r="A127" s="7" t="n">
        <v>5785</v>
      </c>
      <c r="B127" s="7" t="s">
        <v>61</v>
      </c>
      <c r="C127" s="7" t="s">
        <v>241</v>
      </c>
      <c r="D127" s="7" t="s">
        <v>94</v>
      </c>
      <c r="E127" s="7" t="s">
        <v>86</v>
      </c>
      <c r="F127" s="7" t="s">
        <v>477</v>
      </c>
      <c r="G127" s="7" t="s">
        <v>295</v>
      </c>
      <c r="H127" s="7" t="s">
        <v>320</v>
      </c>
      <c r="I127" s="7" t="s">
        <v>535</v>
      </c>
      <c r="J127" s="22" t="n">
        <v>193.631</v>
      </c>
      <c r="K127" s="23"/>
      <c r="L127" s="24" t="str">
        <f aca="false">IF(K127="","",K127-J127)</f>
        <v/>
      </c>
      <c r="M127" s="22" t="n">
        <v>5.489</v>
      </c>
      <c r="N127" s="8" t="n">
        <v>1062.84</v>
      </c>
      <c r="O127" s="9"/>
      <c r="P127" s="10" t="str">
        <f aca="false">IF(O127="","",O127-N127)</f>
        <v/>
      </c>
    </row>
    <row r="128" customFormat="false" ht="15" hidden="false" customHeight="false" outlineLevel="0" collapsed="false">
      <c r="A128" s="7" t="n">
        <v>5785</v>
      </c>
      <c r="B128" s="7" t="s">
        <v>61</v>
      </c>
      <c r="C128" s="7" t="s">
        <v>241</v>
      </c>
      <c r="D128" s="7" t="s">
        <v>94</v>
      </c>
      <c r="E128" s="7" t="s">
        <v>86</v>
      </c>
      <c r="F128" s="7" t="s">
        <v>480</v>
      </c>
      <c r="G128" s="7" t="s">
        <v>295</v>
      </c>
      <c r="H128" s="7" t="s">
        <v>536</v>
      </c>
      <c r="I128" s="7" t="s">
        <v>537</v>
      </c>
      <c r="J128" s="22" t="n">
        <v>172.554</v>
      </c>
      <c r="K128" s="23"/>
      <c r="L128" s="24" t="str">
        <f aca="false">IF(K128="","",K128-J128)</f>
        <v/>
      </c>
      <c r="M128" s="22" t="n">
        <v>5.689</v>
      </c>
      <c r="N128" s="8" t="n">
        <v>981.66</v>
      </c>
      <c r="O128" s="9"/>
      <c r="P128" s="10" t="str">
        <f aca="false">IF(O128="","",O128-N128)</f>
        <v/>
      </c>
    </row>
    <row r="129" customFormat="false" ht="15" hidden="false" customHeight="false" outlineLevel="0" collapsed="false">
      <c r="A129" s="7" t="n">
        <v>5785</v>
      </c>
      <c r="B129" s="7" t="s">
        <v>61</v>
      </c>
      <c r="C129" s="7" t="s">
        <v>242</v>
      </c>
      <c r="D129" s="7" t="s">
        <v>94</v>
      </c>
      <c r="E129" s="7" t="s">
        <v>86</v>
      </c>
      <c r="F129" s="7" t="s">
        <v>525</v>
      </c>
      <c r="G129" s="7" t="s">
        <v>295</v>
      </c>
      <c r="H129" s="7" t="s">
        <v>538</v>
      </c>
      <c r="I129" s="7" t="s">
        <v>539</v>
      </c>
      <c r="J129" s="22" t="n">
        <v>41.071</v>
      </c>
      <c r="K129" s="23"/>
      <c r="L129" s="24" t="str">
        <f aca="false">IF(K129="","",K129-J129)</f>
        <v/>
      </c>
      <c r="M129" s="22" t="n">
        <v>5.289</v>
      </c>
      <c r="N129" s="8" t="n">
        <v>217.22</v>
      </c>
      <c r="O129" s="9"/>
      <c r="P129" s="10" t="str">
        <f aca="false">IF(O129="","",O129-N129)</f>
        <v/>
      </c>
    </row>
    <row r="130" customFormat="false" ht="15" hidden="false" customHeight="false" outlineLevel="0" collapsed="false">
      <c r="A130" s="7" t="n">
        <v>5785</v>
      </c>
      <c r="B130" s="7" t="s">
        <v>61</v>
      </c>
      <c r="C130" s="7" t="s">
        <v>242</v>
      </c>
      <c r="D130" s="7" t="s">
        <v>94</v>
      </c>
      <c r="E130" s="7" t="s">
        <v>86</v>
      </c>
      <c r="F130" s="7" t="s">
        <v>530</v>
      </c>
      <c r="G130" s="7" t="s">
        <v>295</v>
      </c>
      <c r="H130" s="7" t="s">
        <v>540</v>
      </c>
      <c r="I130" s="7" t="s">
        <v>541</v>
      </c>
      <c r="J130" s="22" t="n">
        <v>155.015</v>
      </c>
      <c r="K130" s="23"/>
      <c r="L130" s="24" t="str">
        <f aca="false">IF(K130="","",K130-J130)</f>
        <v/>
      </c>
      <c r="M130" s="22" t="n">
        <v>5.359</v>
      </c>
      <c r="N130" s="8" t="n">
        <v>830.73</v>
      </c>
      <c r="O130" s="9"/>
      <c r="P130" s="10" t="str">
        <f aca="false">IF(O130="","",O130-N130)</f>
        <v/>
      </c>
    </row>
    <row r="131" customFormat="false" ht="15" hidden="false" customHeight="false" outlineLevel="0" collapsed="false">
      <c r="A131" s="7" t="n">
        <v>5785</v>
      </c>
      <c r="B131" s="7" t="s">
        <v>61</v>
      </c>
      <c r="C131" s="7" t="s">
        <v>244</v>
      </c>
      <c r="D131" s="7" t="s">
        <v>94</v>
      </c>
      <c r="E131" s="7" t="s">
        <v>86</v>
      </c>
      <c r="F131" s="7" t="s">
        <v>542</v>
      </c>
      <c r="G131" s="7" t="s">
        <v>295</v>
      </c>
      <c r="H131" s="7" t="s">
        <v>543</v>
      </c>
      <c r="I131" s="7" t="s">
        <v>544</v>
      </c>
      <c r="J131" s="22" t="n">
        <v>157.962</v>
      </c>
      <c r="K131" s="23"/>
      <c r="L131" s="24" t="str">
        <f aca="false">IF(K131="","",K131-J131)</f>
        <v/>
      </c>
      <c r="M131" s="22" t="n">
        <v>5.649</v>
      </c>
      <c r="N131" s="8" t="n">
        <v>892.33</v>
      </c>
      <c r="O131" s="9"/>
      <c r="P131" s="10" t="str">
        <f aca="false">IF(O131="","",O131-N131)</f>
        <v/>
      </c>
    </row>
    <row r="132" customFormat="false" ht="15" hidden="false" customHeight="false" outlineLevel="0" collapsed="false">
      <c r="A132" s="7" t="n">
        <v>5785</v>
      </c>
      <c r="B132" s="7" t="s">
        <v>61</v>
      </c>
      <c r="C132" s="7" t="s">
        <v>244</v>
      </c>
      <c r="D132" s="7" t="s">
        <v>94</v>
      </c>
      <c r="E132" s="7" t="s">
        <v>86</v>
      </c>
      <c r="F132" s="7" t="s">
        <v>545</v>
      </c>
      <c r="G132" s="7" t="s">
        <v>295</v>
      </c>
      <c r="H132" s="7" t="s">
        <v>320</v>
      </c>
      <c r="I132" s="7" t="s">
        <v>546</v>
      </c>
      <c r="J132" s="22" t="n">
        <v>105.489</v>
      </c>
      <c r="K132" s="23"/>
      <c r="L132" s="24" t="str">
        <f aca="false">IF(K132="","",K132-J132)</f>
        <v/>
      </c>
      <c r="M132" s="22" t="n">
        <v>5.549</v>
      </c>
      <c r="N132" s="8" t="n">
        <v>585.36</v>
      </c>
      <c r="O132" s="9"/>
      <c r="P132" s="10" t="str">
        <f aca="false">IF(O132="","",O132-N132)</f>
        <v/>
      </c>
    </row>
    <row r="133" customFormat="false" ht="15" hidden="false" customHeight="false" outlineLevel="0" collapsed="false">
      <c r="A133" s="7" t="n">
        <v>5786</v>
      </c>
      <c r="B133" s="7" t="s">
        <v>61</v>
      </c>
      <c r="C133" s="7" t="s">
        <v>246</v>
      </c>
      <c r="D133" s="7" t="s">
        <v>87</v>
      </c>
      <c r="E133" s="7" t="s">
        <v>88</v>
      </c>
      <c r="F133" s="7" t="s">
        <v>499</v>
      </c>
      <c r="G133" s="7" t="s">
        <v>295</v>
      </c>
      <c r="H133" s="7" t="s">
        <v>320</v>
      </c>
      <c r="I133" s="7" t="s">
        <v>547</v>
      </c>
      <c r="J133" s="22" t="n">
        <v>92.018</v>
      </c>
      <c r="K133" s="23"/>
      <c r="L133" s="24" t="str">
        <f aca="false">IF(K133="","",K133-J133)</f>
        <v/>
      </c>
      <c r="M133" s="22" t="n">
        <v>5.549</v>
      </c>
      <c r="N133" s="8" t="n">
        <v>510.61</v>
      </c>
      <c r="O133" s="9"/>
      <c r="P133" s="10" t="str">
        <f aca="false">IF(O133="","",O133-N133)</f>
        <v/>
      </c>
    </row>
    <row r="134" customFormat="false" ht="15" hidden="false" customHeight="false" outlineLevel="0" collapsed="false">
      <c r="A134" s="7" t="n">
        <v>5786</v>
      </c>
      <c r="B134" s="7" t="s">
        <v>61</v>
      </c>
      <c r="C134" s="7" t="s">
        <v>246</v>
      </c>
      <c r="D134" s="7" t="s">
        <v>87</v>
      </c>
      <c r="E134" s="7" t="s">
        <v>88</v>
      </c>
      <c r="F134" s="7" t="s">
        <v>530</v>
      </c>
      <c r="G134" s="7" t="s">
        <v>295</v>
      </c>
      <c r="H134" s="7" t="s">
        <v>548</v>
      </c>
      <c r="I134" s="7" t="s">
        <v>549</v>
      </c>
      <c r="J134" s="22" t="n">
        <v>130.069</v>
      </c>
      <c r="K134" s="23"/>
      <c r="L134" s="24" t="str">
        <f aca="false">IF(K134="","",K134-J134)</f>
        <v/>
      </c>
      <c r="M134" s="22" t="n">
        <v>5.789</v>
      </c>
      <c r="N134" s="8" t="n">
        <v>752.97</v>
      </c>
      <c r="O134" s="9"/>
      <c r="P134" s="10" t="str">
        <f aca="false">IF(O134="","",O134-N134)</f>
        <v/>
      </c>
    </row>
    <row r="135" customFormat="false" ht="15" hidden="false" customHeight="false" outlineLevel="0" collapsed="false">
      <c r="A135" s="7" t="n">
        <v>5786</v>
      </c>
      <c r="B135" s="7" t="s">
        <v>61</v>
      </c>
      <c r="C135" s="7" t="s">
        <v>247</v>
      </c>
      <c r="D135" s="7" t="s">
        <v>87</v>
      </c>
      <c r="E135" s="7" t="s">
        <v>88</v>
      </c>
      <c r="F135" s="7" t="s">
        <v>542</v>
      </c>
      <c r="G135" s="7" t="s">
        <v>295</v>
      </c>
      <c r="H135" s="7" t="s">
        <v>550</v>
      </c>
      <c r="I135" s="7" t="s">
        <v>551</v>
      </c>
      <c r="J135" s="22" t="n">
        <v>113.21</v>
      </c>
      <c r="K135" s="23"/>
      <c r="L135" s="24" t="str">
        <f aca="false">IF(K135="","",K135-J135)</f>
        <v/>
      </c>
      <c r="M135" s="22" t="n">
        <v>5.689</v>
      </c>
      <c r="N135" s="8" t="n">
        <v>644.05</v>
      </c>
      <c r="O135" s="9"/>
      <c r="P135" s="10" t="str">
        <f aca="false">IF(O135="","",O135-N135)</f>
        <v/>
      </c>
    </row>
    <row r="136" customFormat="false" ht="15" hidden="false" customHeight="false" outlineLevel="0" collapsed="false">
      <c r="A136" s="7" t="n">
        <v>5786</v>
      </c>
      <c r="B136" s="7" t="s">
        <v>61</v>
      </c>
      <c r="C136" s="7" t="s">
        <v>247</v>
      </c>
      <c r="D136" s="7" t="s">
        <v>87</v>
      </c>
      <c r="E136" s="7" t="s">
        <v>88</v>
      </c>
      <c r="F136" s="7" t="s">
        <v>545</v>
      </c>
      <c r="G136" s="7" t="s">
        <v>295</v>
      </c>
      <c r="H136" s="7" t="s">
        <v>320</v>
      </c>
      <c r="I136" s="7" t="s">
        <v>547</v>
      </c>
      <c r="J136" s="22" t="n">
        <v>92.018</v>
      </c>
      <c r="K136" s="23"/>
      <c r="L136" s="24" t="str">
        <f aca="false">IF(K136="","",K136-J136)</f>
        <v/>
      </c>
      <c r="M136" s="22" t="n">
        <v>5.549</v>
      </c>
      <c r="N136" s="8" t="n">
        <v>510.61</v>
      </c>
      <c r="O136" s="9"/>
      <c r="P136" s="10" t="str">
        <f aca="false">IF(O136="","",O136-N136)</f>
        <v/>
      </c>
    </row>
    <row r="137" customFormat="false" ht="15" hidden="false" customHeight="false" outlineLevel="0" collapsed="false">
      <c r="A137" s="7" t="n">
        <v>5787</v>
      </c>
      <c r="B137" s="7" t="s">
        <v>61</v>
      </c>
      <c r="C137" s="7" t="s">
        <v>248</v>
      </c>
      <c r="D137" s="7" t="s">
        <v>89</v>
      </c>
      <c r="E137" s="7" t="s">
        <v>71</v>
      </c>
      <c r="F137" s="7" t="s">
        <v>545</v>
      </c>
      <c r="G137" s="7" t="s">
        <v>295</v>
      </c>
      <c r="H137" s="7" t="s">
        <v>552</v>
      </c>
      <c r="I137" s="7" t="s">
        <v>553</v>
      </c>
      <c r="J137" s="22" t="n">
        <v>127.239</v>
      </c>
      <c r="K137" s="23"/>
      <c r="L137" s="24" t="str">
        <f aca="false">IF(K137="","",K137-J137)</f>
        <v/>
      </c>
      <c r="M137" s="22" t="n">
        <v>5.789</v>
      </c>
      <c r="N137" s="8" t="n">
        <v>736.59</v>
      </c>
      <c r="O137" s="9"/>
      <c r="P137" s="10" t="str">
        <f aca="false">IF(O137="","",O137-N137)</f>
        <v/>
      </c>
    </row>
    <row r="138" customFormat="false" ht="15" hidden="false" customHeight="false" outlineLevel="0" collapsed="false">
      <c r="A138" s="7" t="n">
        <v>5787</v>
      </c>
      <c r="B138" s="7" t="s">
        <v>61</v>
      </c>
      <c r="C138" s="7" t="s">
        <v>251</v>
      </c>
      <c r="D138" s="7" t="s">
        <v>89</v>
      </c>
      <c r="E138" s="7" t="s">
        <v>71</v>
      </c>
      <c r="F138" s="7" t="s">
        <v>499</v>
      </c>
      <c r="G138" s="7" t="s">
        <v>423</v>
      </c>
      <c r="H138" s="7" t="s">
        <v>554</v>
      </c>
      <c r="I138" s="7" t="s">
        <v>555</v>
      </c>
      <c r="J138" s="22" t="n">
        <v>113.135</v>
      </c>
      <c r="K138" s="23"/>
      <c r="L138" s="24" t="str">
        <f aca="false">IF(K138="","",K138-J138)</f>
        <v/>
      </c>
      <c r="M138" s="22" t="n">
        <v>5.699</v>
      </c>
      <c r="N138" s="8" t="n">
        <v>644.76</v>
      </c>
      <c r="O138" s="9"/>
      <c r="P138" s="10" t="str">
        <f aca="false">IF(O138="","",O138-N138)</f>
        <v/>
      </c>
    </row>
    <row r="139" customFormat="false" ht="15" hidden="false" customHeight="false" outlineLevel="0" collapsed="false">
      <c r="A139" s="7" t="n">
        <v>5787</v>
      </c>
      <c r="B139" s="7" t="s">
        <v>61</v>
      </c>
      <c r="C139" s="7" t="s">
        <v>251</v>
      </c>
      <c r="D139" s="7" t="s">
        <v>89</v>
      </c>
      <c r="E139" s="7" t="s">
        <v>71</v>
      </c>
      <c r="F139" s="7" t="s">
        <v>530</v>
      </c>
      <c r="G139" s="7" t="s">
        <v>295</v>
      </c>
      <c r="H139" s="7" t="s">
        <v>556</v>
      </c>
      <c r="I139" s="7" t="s">
        <v>557</v>
      </c>
      <c r="J139" s="22" t="n">
        <v>109</v>
      </c>
      <c r="K139" s="23"/>
      <c r="L139" s="24" t="str">
        <f aca="false">IF(K139="","",K139-J139)</f>
        <v/>
      </c>
      <c r="M139" s="22" t="n">
        <v>5.589</v>
      </c>
      <c r="N139" s="8" t="n">
        <v>609.2</v>
      </c>
      <c r="O139" s="9"/>
      <c r="P139" s="10" t="str">
        <f aca="false">IF(O139="","",O139-N139)</f>
        <v/>
      </c>
    </row>
    <row r="140" customFormat="false" ht="15" hidden="false" customHeight="false" outlineLevel="0" collapsed="false">
      <c r="A140" s="7" t="n">
        <v>5788</v>
      </c>
      <c r="B140" s="7" t="s">
        <v>61</v>
      </c>
      <c r="C140" s="7" t="s">
        <v>253</v>
      </c>
      <c r="D140" s="7" t="s">
        <v>82</v>
      </c>
      <c r="E140" s="7" t="s">
        <v>83</v>
      </c>
      <c r="F140" s="7" t="s">
        <v>530</v>
      </c>
      <c r="G140" s="7" t="s">
        <v>295</v>
      </c>
      <c r="H140" s="7" t="s">
        <v>558</v>
      </c>
      <c r="I140" s="7" t="s">
        <v>559</v>
      </c>
      <c r="J140" s="22" t="n">
        <v>197.907</v>
      </c>
      <c r="K140" s="23"/>
      <c r="L140" s="24" t="str">
        <f aca="false">IF(K140="","",K140-J140)</f>
        <v/>
      </c>
      <c r="M140" s="22" t="n">
        <v>5.589</v>
      </c>
      <c r="N140" s="8" t="n">
        <v>1106.1</v>
      </c>
      <c r="O140" s="9"/>
      <c r="P140" s="10" t="str">
        <f aca="false">IF(O140="","",O140-N140)</f>
        <v/>
      </c>
    </row>
    <row r="141" customFormat="false" ht="15" hidden="false" customHeight="false" outlineLevel="0" collapsed="false">
      <c r="A141" s="7" t="n">
        <v>5788</v>
      </c>
      <c r="B141" s="7" t="s">
        <v>61</v>
      </c>
      <c r="C141" s="7" t="s">
        <v>253</v>
      </c>
      <c r="D141" s="7" t="s">
        <v>82</v>
      </c>
      <c r="E141" s="7" t="s">
        <v>83</v>
      </c>
      <c r="F141" s="7" t="s">
        <v>508</v>
      </c>
      <c r="G141" s="7" t="s">
        <v>295</v>
      </c>
      <c r="H141" s="7" t="s">
        <v>560</v>
      </c>
      <c r="I141" s="7" t="s">
        <v>561</v>
      </c>
      <c r="J141" s="22" t="n">
        <v>198</v>
      </c>
      <c r="K141" s="23"/>
      <c r="L141" s="24" t="str">
        <f aca="false">IF(K141="","",K141-J141)</f>
        <v/>
      </c>
      <c r="M141" s="22" t="n">
        <v>5.189</v>
      </c>
      <c r="N141" s="8" t="n">
        <v>1027.42</v>
      </c>
      <c r="O141" s="9"/>
      <c r="P141" s="10" t="str">
        <f aca="false">IF(O141="","",O141-N141)</f>
        <v/>
      </c>
    </row>
    <row r="142" customFormat="false" ht="15" hidden="false" customHeight="false" outlineLevel="0" collapsed="false">
      <c r="A142" s="7" t="n">
        <v>5788</v>
      </c>
      <c r="B142" s="7" t="s">
        <v>61</v>
      </c>
      <c r="C142" s="7" t="s">
        <v>254</v>
      </c>
      <c r="D142" s="7" t="s">
        <v>82</v>
      </c>
      <c r="E142" s="7" t="s">
        <v>83</v>
      </c>
      <c r="F142" s="7" t="s">
        <v>542</v>
      </c>
      <c r="G142" s="7" t="s">
        <v>295</v>
      </c>
      <c r="H142" s="7" t="s">
        <v>562</v>
      </c>
      <c r="I142" s="7" t="s">
        <v>563</v>
      </c>
      <c r="J142" s="22" t="n">
        <v>90.75</v>
      </c>
      <c r="K142" s="23"/>
      <c r="L142" s="24" t="str">
        <f aca="false">IF(K142="","",K142-J142)</f>
        <v/>
      </c>
      <c r="M142" s="22" t="n">
        <v>5.549</v>
      </c>
      <c r="N142" s="8" t="n">
        <v>503.57</v>
      </c>
      <c r="O142" s="9"/>
      <c r="P142" s="10" t="str">
        <f aca="false">IF(O142="","",O142-N142)</f>
        <v/>
      </c>
    </row>
    <row r="143" customFormat="false" ht="15" hidden="false" customHeight="false" outlineLevel="0" collapsed="false">
      <c r="A143" s="7" t="n">
        <v>5788</v>
      </c>
      <c r="B143" s="7" t="s">
        <v>61</v>
      </c>
      <c r="C143" s="7" t="s">
        <v>254</v>
      </c>
      <c r="D143" s="7" t="s">
        <v>82</v>
      </c>
      <c r="E143" s="7" t="s">
        <v>83</v>
      </c>
      <c r="F143" s="7" t="s">
        <v>545</v>
      </c>
      <c r="G143" s="7" t="s">
        <v>295</v>
      </c>
      <c r="H143" s="7" t="s">
        <v>564</v>
      </c>
      <c r="I143" s="7" t="s">
        <v>565</v>
      </c>
      <c r="J143" s="22" t="n">
        <v>48</v>
      </c>
      <c r="K143" s="23"/>
      <c r="L143" s="24" t="str">
        <f aca="false">IF(K143="","",K143-J143)</f>
        <v/>
      </c>
      <c r="M143" s="22" t="n">
        <v>5.589</v>
      </c>
      <c r="N143" s="8" t="n">
        <v>268.27</v>
      </c>
      <c r="O143" s="9"/>
      <c r="P143" s="10" t="str">
        <f aca="false">IF(O143="","",O143-N143)</f>
        <v/>
      </c>
    </row>
    <row r="144" customFormat="false" ht="15" hidden="false" customHeight="false" outlineLevel="0" collapsed="false">
      <c r="A144" s="7" t="n">
        <v>5788</v>
      </c>
      <c r="B144" s="7" t="s">
        <v>61</v>
      </c>
      <c r="C144" s="7" t="s">
        <v>254</v>
      </c>
      <c r="D144" s="7" t="s">
        <v>82</v>
      </c>
      <c r="E144" s="7" t="s">
        <v>83</v>
      </c>
      <c r="F144" s="7" t="s">
        <v>545</v>
      </c>
      <c r="G144" s="7" t="s">
        <v>295</v>
      </c>
      <c r="H144" s="7" t="s">
        <v>564</v>
      </c>
      <c r="I144" s="7"/>
      <c r="J144" s="22" t="n">
        <v>115.24</v>
      </c>
      <c r="K144" s="23"/>
      <c r="L144" s="24" t="str">
        <f aca="false">IF(K144="","",K144-J144)</f>
        <v/>
      </c>
      <c r="M144" s="22" t="n">
        <v>5.42</v>
      </c>
      <c r="N144" s="8" t="n">
        <v>624.6</v>
      </c>
      <c r="O144" s="9"/>
      <c r="P144" s="10" t="str">
        <f aca="false">IF(O144="","",O144-N144)</f>
        <v/>
      </c>
    </row>
    <row r="145" customFormat="false" ht="15" hidden="false" customHeight="false" outlineLevel="0" collapsed="false">
      <c r="A145" s="7" t="n">
        <v>5788</v>
      </c>
      <c r="B145" s="7" t="s">
        <v>61</v>
      </c>
      <c r="C145" s="7" t="s">
        <v>256</v>
      </c>
      <c r="D145" s="7" t="s">
        <v>82</v>
      </c>
      <c r="E145" s="7" t="s">
        <v>83</v>
      </c>
      <c r="F145" s="7" t="s">
        <v>566</v>
      </c>
      <c r="G145" s="7" t="s">
        <v>295</v>
      </c>
      <c r="H145" s="7" t="s">
        <v>567</v>
      </c>
      <c r="I145" s="7" t="s">
        <v>568</v>
      </c>
      <c r="J145" s="22" t="n">
        <v>104.994</v>
      </c>
      <c r="K145" s="23"/>
      <c r="L145" s="24" t="str">
        <f aca="false">IF(K145="","",K145-J145)</f>
        <v/>
      </c>
      <c r="M145" s="22" t="n">
        <v>5.429</v>
      </c>
      <c r="N145" s="8" t="n">
        <v>570.01</v>
      </c>
      <c r="O145" s="9"/>
      <c r="P145" s="10" t="str">
        <f aca="false">IF(O145="","",O145-N145)</f>
        <v/>
      </c>
    </row>
    <row r="146" customFormat="false" ht="15" hidden="false" customHeight="false" outlineLevel="0" collapsed="false">
      <c r="A146" s="7" t="n">
        <v>5788</v>
      </c>
      <c r="B146" s="7" t="s">
        <v>61</v>
      </c>
      <c r="C146" s="7" t="s">
        <v>256</v>
      </c>
      <c r="D146" s="7" t="s">
        <v>82</v>
      </c>
      <c r="E146" s="7" t="s">
        <v>83</v>
      </c>
      <c r="F146" s="7" t="s">
        <v>566</v>
      </c>
      <c r="G146" s="7" t="s">
        <v>295</v>
      </c>
      <c r="H146" s="7" t="s">
        <v>569</v>
      </c>
      <c r="I146" s="7" t="s">
        <v>570</v>
      </c>
      <c r="J146" s="22" t="n">
        <v>78.988</v>
      </c>
      <c r="K146" s="23"/>
      <c r="L146" s="24" t="str">
        <f aca="false">IF(K146="","",K146-J146)</f>
        <v/>
      </c>
      <c r="M146" s="22" t="n">
        <v>5.429</v>
      </c>
      <c r="N146" s="8" t="n">
        <v>428.83</v>
      </c>
      <c r="O146" s="9"/>
      <c r="P146" s="10" t="str">
        <f aca="false">IF(O146="","",O146-N146)</f>
        <v/>
      </c>
    </row>
    <row r="147" customFormat="false" ht="15" hidden="false" customHeight="false" outlineLevel="0" collapsed="false">
      <c r="A147" s="7" t="n">
        <v>5788</v>
      </c>
      <c r="B147" s="7" t="s">
        <v>61</v>
      </c>
      <c r="C147" s="7" t="s">
        <v>256</v>
      </c>
      <c r="D147" s="7" t="s">
        <v>82</v>
      </c>
      <c r="E147" s="7" t="s">
        <v>83</v>
      </c>
      <c r="F147" s="7" t="s">
        <v>571</v>
      </c>
      <c r="G147" s="7" t="s">
        <v>295</v>
      </c>
      <c r="H147" s="7" t="s">
        <v>366</v>
      </c>
      <c r="I147" s="7" t="s">
        <v>572</v>
      </c>
      <c r="J147" s="22" t="n">
        <v>25.489</v>
      </c>
      <c r="K147" s="23"/>
      <c r="L147" s="24" t="str">
        <f aca="false">IF(K147="","",K147-J147)</f>
        <v/>
      </c>
      <c r="M147" s="22" t="n">
        <v>5.589</v>
      </c>
      <c r="N147" s="8" t="n">
        <v>142.46</v>
      </c>
      <c r="O147" s="9"/>
      <c r="P147" s="10" t="str">
        <f aca="false">IF(O147="","",O147-N147)</f>
        <v/>
      </c>
    </row>
    <row r="148" customFormat="false" ht="15" hidden="false" customHeight="false" outlineLevel="0" collapsed="false">
      <c r="A148" s="7" t="n">
        <v>5789</v>
      </c>
      <c r="B148" s="7" t="s">
        <v>61</v>
      </c>
      <c r="C148" s="7" t="s">
        <v>257</v>
      </c>
      <c r="D148" s="7" t="s">
        <v>72</v>
      </c>
      <c r="E148" s="7" t="s">
        <v>84</v>
      </c>
      <c r="F148" s="7" t="s">
        <v>545</v>
      </c>
      <c r="G148" s="7" t="s">
        <v>295</v>
      </c>
      <c r="H148" s="7" t="s">
        <v>573</v>
      </c>
      <c r="I148" s="7" t="s">
        <v>574</v>
      </c>
      <c r="J148" s="22" t="n">
        <v>41.036</v>
      </c>
      <c r="K148" s="23"/>
      <c r="L148" s="24" t="str">
        <f aca="false">IF(K148="","",K148-J148)</f>
        <v/>
      </c>
      <c r="M148" s="22" t="n">
        <v>5.489</v>
      </c>
      <c r="N148" s="8" t="n">
        <v>225.25</v>
      </c>
      <c r="O148" s="9"/>
      <c r="P148" s="10" t="str">
        <f aca="false">IF(O148="","",O148-N148)</f>
        <v/>
      </c>
    </row>
    <row r="149" customFormat="false" ht="15" hidden="false" customHeight="false" outlineLevel="0" collapsed="false">
      <c r="A149" s="7" t="n">
        <v>5789</v>
      </c>
      <c r="B149" s="7" t="s">
        <v>61</v>
      </c>
      <c r="C149" s="7" t="s">
        <v>257</v>
      </c>
      <c r="D149" s="7" t="s">
        <v>72</v>
      </c>
      <c r="E149" s="7" t="s">
        <v>84</v>
      </c>
      <c r="F149" s="7" t="s">
        <v>545</v>
      </c>
      <c r="G149" s="7" t="s">
        <v>295</v>
      </c>
      <c r="H149" s="7" t="s">
        <v>320</v>
      </c>
      <c r="I149" s="7" t="s">
        <v>575</v>
      </c>
      <c r="J149" s="22" t="n">
        <v>157.367</v>
      </c>
      <c r="K149" s="23"/>
      <c r="L149" s="24" t="str">
        <f aca="false">IF(K149="","",K149-J149)</f>
        <v/>
      </c>
      <c r="M149" s="22" t="n">
        <v>5.549</v>
      </c>
      <c r="N149" s="8" t="n">
        <v>873.23</v>
      </c>
      <c r="O149" s="9"/>
      <c r="P149" s="10" t="str">
        <f aca="false">IF(O149="","",O149-N149)</f>
        <v/>
      </c>
    </row>
    <row r="150" customFormat="false" ht="15" hidden="false" customHeight="false" outlineLevel="0" collapsed="false">
      <c r="A150" s="7" t="n">
        <v>5789</v>
      </c>
      <c r="B150" s="7" t="s">
        <v>61</v>
      </c>
      <c r="C150" s="7" t="s">
        <v>257</v>
      </c>
      <c r="D150" s="7" t="s">
        <v>72</v>
      </c>
      <c r="E150" s="7" t="s">
        <v>84</v>
      </c>
      <c r="F150" s="7" t="s">
        <v>576</v>
      </c>
      <c r="G150" s="7" t="s">
        <v>295</v>
      </c>
      <c r="H150" s="7" t="s">
        <v>299</v>
      </c>
      <c r="I150" s="7" t="s">
        <v>577</v>
      </c>
      <c r="J150" s="22" t="n">
        <v>148.502</v>
      </c>
      <c r="K150" s="23"/>
      <c r="L150" s="24" t="str">
        <f aca="false">IF(K150="","",K150-J150)</f>
        <v/>
      </c>
      <c r="M150" s="22" t="n">
        <v>5.759</v>
      </c>
      <c r="N150" s="8" t="n">
        <v>855.22</v>
      </c>
      <c r="O150" s="9"/>
      <c r="P150" s="10" t="str">
        <f aca="false">IF(O150="","",O150-N150)</f>
        <v/>
      </c>
    </row>
    <row r="151" customFormat="false" ht="15" hidden="false" customHeight="false" outlineLevel="0" collapsed="false">
      <c r="A151" s="7" t="n">
        <v>5789</v>
      </c>
      <c r="B151" s="7" t="s">
        <v>61</v>
      </c>
      <c r="C151" s="7" t="s">
        <v>259</v>
      </c>
      <c r="D151" s="7" t="s">
        <v>72</v>
      </c>
      <c r="E151" s="7" t="s">
        <v>84</v>
      </c>
      <c r="F151" s="7" t="s">
        <v>578</v>
      </c>
      <c r="G151" s="7" t="s">
        <v>295</v>
      </c>
      <c r="H151" s="7" t="s">
        <v>392</v>
      </c>
      <c r="I151" s="7" t="s">
        <v>579</v>
      </c>
      <c r="J151" s="22" t="n">
        <v>179.923</v>
      </c>
      <c r="K151" s="23"/>
      <c r="L151" s="24" t="str">
        <f aca="false">IF(K151="","",K151-J151)</f>
        <v/>
      </c>
      <c r="M151" s="22" t="n">
        <v>5.589</v>
      </c>
      <c r="N151" s="8" t="n">
        <v>1005.59</v>
      </c>
      <c r="O151" s="9"/>
      <c r="P151" s="10" t="str">
        <f aca="false">IF(O151="","",O151-N151)</f>
        <v/>
      </c>
    </row>
    <row r="152" customFormat="false" ht="15" hidden="false" customHeight="false" outlineLevel="0" collapsed="false">
      <c r="A152" s="7" t="n">
        <v>5789</v>
      </c>
      <c r="B152" s="7" t="s">
        <v>61</v>
      </c>
      <c r="C152" s="7" t="s">
        <v>259</v>
      </c>
      <c r="D152" s="7" t="s">
        <v>72</v>
      </c>
      <c r="E152" s="7" t="s">
        <v>84</v>
      </c>
      <c r="F152" s="7" t="s">
        <v>580</v>
      </c>
      <c r="G152" s="7" t="s">
        <v>295</v>
      </c>
      <c r="H152" s="7" t="s">
        <v>299</v>
      </c>
      <c r="I152" s="7" t="s">
        <v>581</v>
      </c>
      <c r="J152" s="22" t="n">
        <v>146.879</v>
      </c>
      <c r="K152" s="23"/>
      <c r="L152" s="24" t="str">
        <f aca="false">IF(K152="","",K152-J152)</f>
        <v/>
      </c>
      <c r="M152" s="22" t="n">
        <v>5.719</v>
      </c>
      <c r="N152" s="8" t="n">
        <v>840</v>
      </c>
      <c r="O152" s="9"/>
      <c r="P152" s="10" t="str">
        <f aca="false">IF(O152="","",O152-N152)</f>
        <v/>
      </c>
    </row>
    <row r="153" customFormat="false" ht="15" hidden="false" customHeight="false" outlineLevel="0" collapsed="false">
      <c r="A153" s="7" t="n">
        <v>5790</v>
      </c>
      <c r="B153" s="7" t="s">
        <v>61</v>
      </c>
      <c r="C153" s="7" t="s">
        <v>261</v>
      </c>
      <c r="D153" s="7" t="s">
        <v>66</v>
      </c>
      <c r="E153" s="7" t="s">
        <v>93</v>
      </c>
      <c r="F153" s="7" t="s">
        <v>502</v>
      </c>
      <c r="G153" s="7" t="s">
        <v>295</v>
      </c>
      <c r="H153" s="7" t="s">
        <v>296</v>
      </c>
      <c r="I153" s="7" t="s">
        <v>582</v>
      </c>
      <c r="J153" s="22" t="n">
        <v>100.558</v>
      </c>
      <c r="K153" s="23"/>
      <c r="L153" s="24" t="str">
        <f aca="false">IF(K153="","",K153-J153)</f>
        <v/>
      </c>
      <c r="M153" s="22" t="n">
        <v>5.749</v>
      </c>
      <c r="N153" s="8" t="n">
        <v>578.11</v>
      </c>
      <c r="O153" s="9"/>
      <c r="P153" s="10" t="str">
        <f aca="false">IF(O153="","",O153-N153)</f>
        <v/>
      </c>
    </row>
    <row r="154" customFormat="false" ht="15" hidden="false" customHeight="false" outlineLevel="0" collapsed="false">
      <c r="A154" s="7" t="n">
        <v>5790</v>
      </c>
      <c r="B154" s="7" t="s">
        <v>61</v>
      </c>
      <c r="C154" s="7" t="s">
        <v>261</v>
      </c>
      <c r="D154" s="7" t="s">
        <v>66</v>
      </c>
      <c r="E154" s="7" t="s">
        <v>93</v>
      </c>
      <c r="F154" s="7" t="s">
        <v>545</v>
      </c>
      <c r="G154" s="7" t="s">
        <v>295</v>
      </c>
      <c r="H154" s="7" t="s">
        <v>320</v>
      </c>
      <c r="I154" s="7" t="s">
        <v>583</v>
      </c>
      <c r="J154" s="22" t="n">
        <v>184.001</v>
      </c>
      <c r="K154" s="23"/>
      <c r="L154" s="24" t="str">
        <f aca="false">IF(K154="","",K154-J154)</f>
        <v/>
      </c>
      <c r="M154" s="22" t="n">
        <v>5.549</v>
      </c>
      <c r="N154" s="8" t="n">
        <v>1021.02</v>
      </c>
      <c r="O154" s="9"/>
      <c r="P154" s="10" t="str">
        <f aca="false">IF(O154="","",O154-N154)</f>
        <v/>
      </c>
    </row>
    <row r="155" customFormat="false" ht="15" hidden="false" customHeight="false" outlineLevel="0" collapsed="false">
      <c r="A155" s="7" t="n">
        <v>5790</v>
      </c>
      <c r="B155" s="7" t="s">
        <v>61</v>
      </c>
      <c r="C155" s="7" t="s">
        <v>261</v>
      </c>
      <c r="D155" s="7" t="s">
        <v>66</v>
      </c>
      <c r="E155" s="7" t="s">
        <v>93</v>
      </c>
      <c r="F155" s="7" t="s">
        <v>545</v>
      </c>
      <c r="G155" s="7" t="s">
        <v>295</v>
      </c>
      <c r="H155" s="7" t="s">
        <v>584</v>
      </c>
      <c r="I155" s="7" t="s">
        <v>585</v>
      </c>
      <c r="J155" s="22" t="n">
        <v>49.091</v>
      </c>
      <c r="K155" s="23"/>
      <c r="L155" s="24" t="str">
        <f aca="false">IF(K155="","",K155-J155)</f>
        <v/>
      </c>
      <c r="M155" s="22" t="n">
        <v>5.489</v>
      </c>
      <c r="N155" s="8" t="n">
        <v>269.46</v>
      </c>
      <c r="O155" s="9"/>
      <c r="P155" s="10" t="str">
        <f aca="false">IF(O155="","",O155-N155)</f>
        <v/>
      </c>
    </row>
    <row r="156" customFormat="false" ht="15" hidden="false" customHeight="false" outlineLevel="0" collapsed="false">
      <c r="A156" s="7" t="n">
        <v>5790</v>
      </c>
      <c r="B156" s="7" t="s">
        <v>61</v>
      </c>
      <c r="C156" s="7" t="s">
        <v>263</v>
      </c>
      <c r="D156" s="7" t="s">
        <v>66</v>
      </c>
      <c r="E156" s="7" t="s">
        <v>93</v>
      </c>
      <c r="F156" s="7" t="s">
        <v>566</v>
      </c>
      <c r="G156" s="7" t="s">
        <v>295</v>
      </c>
      <c r="H156" s="7" t="s">
        <v>586</v>
      </c>
      <c r="I156" s="7" t="s">
        <v>587</v>
      </c>
      <c r="J156" s="22" t="n">
        <v>70.071</v>
      </c>
      <c r="K156" s="23"/>
      <c r="L156" s="24" t="str">
        <f aca="false">IF(K156="","",K156-J156)</f>
        <v/>
      </c>
      <c r="M156" s="22" t="n">
        <v>5.169</v>
      </c>
      <c r="N156" s="8" t="n">
        <v>362.2</v>
      </c>
      <c r="O156" s="9"/>
      <c r="P156" s="10" t="str">
        <f aca="false">IF(O156="","",O156-N156)</f>
        <v/>
      </c>
    </row>
    <row r="157" customFormat="false" ht="15" hidden="false" customHeight="false" outlineLevel="0" collapsed="false">
      <c r="A157" s="7" t="n">
        <v>5790</v>
      </c>
      <c r="B157" s="7" t="s">
        <v>61</v>
      </c>
      <c r="C157" s="7" t="s">
        <v>263</v>
      </c>
      <c r="D157" s="7" t="s">
        <v>66</v>
      </c>
      <c r="E157" s="7" t="s">
        <v>93</v>
      </c>
      <c r="F157" s="7" t="s">
        <v>571</v>
      </c>
      <c r="G157" s="7" t="s">
        <v>295</v>
      </c>
      <c r="H157" s="7" t="s">
        <v>588</v>
      </c>
      <c r="I157" s="7" t="s">
        <v>589</v>
      </c>
      <c r="J157" s="22" t="n">
        <v>118.097</v>
      </c>
      <c r="K157" s="23"/>
      <c r="L157" s="24" t="str">
        <f aca="false">IF(K157="","",K157-J157)</f>
        <v/>
      </c>
      <c r="M157" s="22" t="n">
        <v>5.769</v>
      </c>
      <c r="N157" s="8" t="n">
        <v>681.3</v>
      </c>
      <c r="O157" s="9"/>
      <c r="P157" s="10" t="str">
        <f aca="false">IF(O157="","",O157-N157)</f>
        <v/>
      </c>
    </row>
    <row r="158" customFormat="false" ht="15" hidden="false" customHeight="false" outlineLevel="0" collapsed="false">
      <c r="A158" s="7" t="n">
        <v>5790</v>
      </c>
      <c r="B158" s="7" t="s">
        <v>61</v>
      </c>
      <c r="C158" s="7" t="s">
        <v>263</v>
      </c>
      <c r="D158" s="7" t="s">
        <v>66</v>
      </c>
      <c r="E158" s="7" t="s">
        <v>93</v>
      </c>
      <c r="F158" s="7" t="s">
        <v>578</v>
      </c>
      <c r="G158" s="7" t="s">
        <v>295</v>
      </c>
      <c r="H158" s="7" t="s">
        <v>590</v>
      </c>
      <c r="I158" s="7" t="s">
        <v>591</v>
      </c>
      <c r="J158" s="22" t="n">
        <v>161.216</v>
      </c>
      <c r="K158" s="23"/>
      <c r="L158" s="24" t="str">
        <f aca="false">IF(K158="","",K158-J158)</f>
        <v/>
      </c>
      <c r="M158" s="22" t="n">
        <v>5.549</v>
      </c>
      <c r="N158" s="8" t="n">
        <v>894.59</v>
      </c>
      <c r="O158" s="9"/>
      <c r="P158" s="10" t="str">
        <f aca="false">IF(O158="","",O158-N158)</f>
        <v/>
      </c>
    </row>
    <row r="159" customFormat="false" ht="15" hidden="false" customHeight="false" outlineLevel="0" collapsed="false">
      <c r="A159" s="7" t="n">
        <v>5791</v>
      </c>
      <c r="B159" s="7" t="s">
        <v>61</v>
      </c>
      <c r="C159" s="7" t="s">
        <v>264</v>
      </c>
      <c r="D159" s="7" t="s">
        <v>80</v>
      </c>
      <c r="E159" s="7" t="s">
        <v>81</v>
      </c>
      <c r="F159" s="7" t="s">
        <v>545</v>
      </c>
      <c r="G159" s="7" t="s">
        <v>295</v>
      </c>
      <c r="H159" s="7" t="s">
        <v>320</v>
      </c>
      <c r="I159" s="7" t="s">
        <v>592</v>
      </c>
      <c r="J159" s="22" t="n">
        <v>96.953</v>
      </c>
      <c r="K159" s="23"/>
      <c r="L159" s="24" t="str">
        <f aca="false">IF(K159="","",K159-J159)</f>
        <v/>
      </c>
      <c r="M159" s="22" t="n">
        <v>5.549</v>
      </c>
      <c r="N159" s="8" t="n">
        <v>537.99</v>
      </c>
      <c r="O159" s="9"/>
      <c r="P159" s="10" t="str">
        <f aca="false">IF(O159="","",O159-N159)</f>
        <v/>
      </c>
    </row>
    <row r="160" customFormat="false" ht="15" hidden="false" customHeight="false" outlineLevel="0" collapsed="false">
      <c r="A160" s="7" t="n">
        <v>5791</v>
      </c>
      <c r="B160" s="7" t="s">
        <v>61</v>
      </c>
      <c r="C160" s="7" t="s">
        <v>264</v>
      </c>
      <c r="D160" s="7" t="s">
        <v>80</v>
      </c>
      <c r="E160" s="7" t="s">
        <v>81</v>
      </c>
      <c r="F160" s="7" t="s">
        <v>545</v>
      </c>
      <c r="G160" s="7" t="s">
        <v>295</v>
      </c>
      <c r="H160" s="7" t="s">
        <v>593</v>
      </c>
      <c r="I160" s="7" t="s">
        <v>594</v>
      </c>
      <c r="J160" s="22" t="n">
        <v>101.999</v>
      </c>
      <c r="K160" s="23"/>
      <c r="L160" s="24" t="str">
        <f aca="false">IF(K160="","",K160-J160)</f>
        <v/>
      </c>
      <c r="M160" s="22" t="n">
        <v>5.489</v>
      </c>
      <c r="N160" s="8" t="n">
        <v>559.87</v>
      </c>
      <c r="O160" s="9"/>
      <c r="P160" s="10" t="str">
        <f aca="false">IF(O160="","",O160-N160)</f>
        <v/>
      </c>
    </row>
    <row r="161" customFormat="false" ht="15" hidden="false" customHeight="false" outlineLevel="0" collapsed="false">
      <c r="A161" s="7" t="n">
        <v>5791</v>
      </c>
      <c r="B161" s="7" t="s">
        <v>61</v>
      </c>
      <c r="C161" s="7" t="s">
        <v>264</v>
      </c>
      <c r="D161" s="7" t="s">
        <v>80</v>
      </c>
      <c r="E161" s="7" t="s">
        <v>81</v>
      </c>
      <c r="F161" s="7" t="s">
        <v>566</v>
      </c>
      <c r="G161" s="7" t="s">
        <v>295</v>
      </c>
      <c r="H161" s="7" t="s">
        <v>299</v>
      </c>
      <c r="I161" s="7" t="s">
        <v>595</v>
      </c>
      <c r="J161" s="22" t="n">
        <v>160.235</v>
      </c>
      <c r="K161" s="23"/>
      <c r="L161" s="24" t="str">
        <f aca="false">IF(K161="","",K161-J161)</f>
        <v/>
      </c>
      <c r="M161" s="22" t="n">
        <v>5.749</v>
      </c>
      <c r="N161" s="8" t="n">
        <v>921.19</v>
      </c>
      <c r="O161" s="9"/>
      <c r="P161" s="10" t="str">
        <f aca="false">IF(O161="","",O161-N161)</f>
        <v/>
      </c>
    </row>
    <row r="162" customFormat="false" ht="15" hidden="false" customHeight="false" outlineLevel="0" collapsed="false">
      <c r="A162" s="7" t="n">
        <v>5791</v>
      </c>
      <c r="B162" s="7" t="s">
        <v>61</v>
      </c>
      <c r="C162" s="7" t="s">
        <v>265</v>
      </c>
      <c r="D162" s="7" t="s">
        <v>80</v>
      </c>
      <c r="E162" s="7" t="s">
        <v>81</v>
      </c>
      <c r="F162" s="7" t="s">
        <v>596</v>
      </c>
      <c r="G162" s="7" t="s">
        <v>295</v>
      </c>
      <c r="H162" s="7" t="s">
        <v>308</v>
      </c>
      <c r="I162" s="7" t="s">
        <v>597</v>
      </c>
      <c r="J162" s="22" t="n">
        <v>132.795</v>
      </c>
      <c r="K162" s="23"/>
      <c r="L162" s="24" t="str">
        <f aca="false">IF(K162="","",K162-J162)</f>
        <v/>
      </c>
      <c r="M162" s="22" t="n">
        <v>5.949</v>
      </c>
      <c r="N162" s="8" t="n">
        <v>790</v>
      </c>
      <c r="O162" s="9"/>
      <c r="P162" s="10" t="str">
        <f aca="false">IF(O162="","",O162-N162)</f>
        <v/>
      </c>
    </row>
    <row r="163" customFormat="false" ht="15" hidden="false" customHeight="false" outlineLevel="0" collapsed="false">
      <c r="A163" s="7" t="n">
        <v>5791</v>
      </c>
      <c r="B163" s="7" t="s">
        <v>61</v>
      </c>
      <c r="C163" s="7" t="s">
        <v>265</v>
      </c>
      <c r="D163" s="7" t="s">
        <v>80</v>
      </c>
      <c r="E163" s="7" t="s">
        <v>81</v>
      </c>
      <c r="F163" s="7" t="s">
        <v>578</v>
      </c>
      <c r="G163" s="7" t="s">
        <v>295</v>
      </c>
      <c r="H163" s="7" t="s">
        <v>598</v>
      </c>
      <c r="I163" s="7" t="s">
        <v>599</v>
      </c>
      <c r="J163" s="22" t="n">
        <v>184.509</v>
      </c>
      <c r="K163" s="23"/>
      <c r="L163" s="24" t="str">
        <f aca="false">IF(K163="","",K163-J163)</f>
        <v/>
      </c>
      <c r="M163" s="22" t="n">
        <v>5.589</v>
      </c>
      <c r="N163" s="8" t="n">
        <v>1031.22</v>
      </c>
      <c r="O163" s="9"/>
      <c r="P163" s="10" t="str">
        <f aca="false">IF(O163="","",O163-N163)</f>
        <v/>
      </c>
    </row>
    <row r="164" customFormat="false" ht="15" hidden="false" customHeight="false" outlineLevel="0" collapsed="false">
      <c r="A164" s="7" t="n">
        <v>5792</v>
      </c>
      <c r="B164" s="7" t="s">
        <v>61</v>
      </c>
      <c r="C164" s="7" t="s">
        <v>267</v>
      </c>
      <c r="D164" s="7" t="s">
        <v>94</v>
      </c>
      <c r="E164" s="7" t="s">
        <v>86</v>
      </c>
      <c r="F164" s="7" t="s">
        <v>545</v>
      </c>
      <c r="G164" s="7" t="s">
        <v>295</v>
      </c>
      <c r="H164" s="7" t="s">
        <v>320</v>
      </c>
      <c r="I164" s="7" t="s">
        <v>546</v>
      </c>
      <c r="J164" s="22" t="n">
        <v>105.489</v>
      </c>
      <c r="K164" s="23"/>
      <c r="L164" s="24" t="str">
        <f aca="false">IF(K164="","",K164-J164)</f>
        <v/>
      </c>
      <c r="M164" s="22" t="n">
        <v>5.549</v>
      </c>
      <c r="N164" s="8" t="n">
        <v>585.36</v>
      </c>
      <c r="O164" s="9"/>
      <c r="P164" s="10" t="str">
        <f aca="false">IF(O164="","",O164-N164)</f>
        <v/>
      </c>
    </row>
    <row r="165" customFormat="false" ht="15" hidden="false" customHeight="false" outlineLevel="0" collapsed="false">
      <c r="A165" s="7" t="n">
        <v>5792</v>
      </c>
      <c r="B165" s="7" t="s">
        <v>61</v>
      </c>
      <c r="C165" s="7" t="s">
        <v>267</v>
      </c>
      <c r="D165" s="7" t="s">
        <v>94</v>
      </c>
      <c r="E165" s="7" t="s">
        <v>86</v>
      </c>
      <c r="F165" s="7" t="s">
        <v>576</v>
      </c>
      <c r="G165" s="7" t="s">
        <v>295</v>
      </c>
      <c r="H165" s="7" t="s">
        <v>600</v>
      </c>
      <c r="I165" s="7" t="s">
        <v>601</v>
      </c>
      <c r="J165" s="22" t="n">
        <v>181.244</v>
      </c>
      <c r="K165" s="23"/>
      <c r="L165" s="24" t="str">
        <f aca="false">IF(K165="","",K165-J165)</f>
        <v/>
      </c>
      <c r="M165" s="22" t="n">
        <v>5.589</v>
      </c>
      <c r="N165" s="8" t="n">
        <v>1012.97</v>
      </c>
      <c r="O165" s="9"/>
      <c r="P165" s="10" t="str">
        <f aca="false">IF(O165="","",O165-N165)</f>
        <v/>
      </c>
    </row>
    <row r="166" customFormat="false" ht="15" hidden="false" customHeight="false" outlineLevel="0" collapsed="false">
      <c r="A166" s="7" t="n">
        <v>5792</v>
      </c>
      <c r="B166" s="7" t="s">
        <v>61</v>
      </c>
      <c r="C166" s="7" t="s">
        <v>267</v>
      </c>
      <c r="D166" s="7" t="s">
        <v>94</v>
      </c>
      <c r="E166" s="7" t="s">
        <v>86</v>
      </c>
      <c r="F166" s="7" t="s">
        <v>566</v>
      </c>
      <c r="G166" s="7" t="s">
        <v>295</v>
      </c>
      <c r="H166" s="7" t="s">
        <v>602</v>
      </c>
      <c r="I166" s="7" t="s">
        <v>603</v>
      </c>
      <c r="J166" s="22" t="n">
        <v>109.65</v>
      </c>
      <c r="K166" s="23"/>
      <c r="L166" s="24" t="str">
        <f aca="false">IF(K166="","",K166-J166)</f>
        <v/>
      </c>
      <c r="M166" s="22" t="n">
        <v>6.049</v>
      </c>
      <c r="N166" s="8" t="n">
        <v>663.27</v>
      </c>
      <c r="O166" s="9"/>
      <c r="P166" s="10" t="str">
        <f aca="false">IF(O166="","",O166-N166)</f>
        <v/>
      </c>
    </row>
    <row r="167" customFormat="false" ht="15" hidden="false" customHeight="false" outlineLevel="0" collapsed="false">
      <c r="A167" s="7" t="n">
        <v>5792</v>
      </c>
      <c r="B167" s="7" t="s">
        <v>61</v>
      </c>
      <c r="C167" s="7" t="s">
        <v>268</v>
      </c>
      <c r="D167" s="7" t="s">
        <v>94</v>
      </c>
      <c r="E167" s="7" t="s">
        <v>86</v>
      </c>
      <c r="F167" s="7" t="s">
        <v>596</v>
      </c>
      <c r="G167" s="7" t="s">
        <v>295</v>
      </c>
      <c r="H167" s="7" t="s">
        <v>604</v>
      </c>
      <c r="I167" s="7" t="s">
        <v>605</v>
      </c>
      <c r="J167" s="22" t="n">
        <v>103.854</v>
      </c>
      <c r="K167" s="23"/>
      <c r="L167" s="24" t="str">
        <f aca="false">IF(K167="","",K167-J167)</f>
        <v/>
      </c>
      <c r="M167" s="22" t="n">
        <v>5.689</v>
      </c>
      <c r="N167" s="8" t="n">
        <v>590.83</v>
      </c>
      <c r="O167" s="9"/>
      <c r="P167" s="10" t="str">
        <f aca="false">IF(O167="","",O167-N167)</f>
        <v/>
      </c>
    </row>
    <row r="168" customFormat="false" ht="15" hidden="false" customHeight="false" outlineLevel="0" collapsed="false">
      <c r="A168" s="7" t="n">
        <v>5792</v>
      </c>
      <c r="B168" s="7" t="s">
        <v>61</v>
      </c>
      <c r="C168" s="7" t="s">
        <v>268</v>
      </c>
      <c r="D168" s="7" t="s">
        <v>94</v>
      </c>
      <c r="E168" s="7" t="s">
        <v>86</v>
      </c>
      <c r="F168" s="7" t="s">
        <v>606</v>
      </c>
      <c r="G168" s="7" t="s">
        <v>295</v>
      </c>
      <c r="H168" s="7" t="s">
        <v>607</v>
      </c>
      <c r="I168" s="7" t="s">
        <v>608</v>
      </c>
      <c r="J168" s="22" t="n">
        <v>171.3</v>
      </c>
      <c r="K168" s="23"/>
      <c r="L168" s="24" t="str">
        <f aca="false">IF(K168="","",K168-J168)</f>
        <v/>
      </c>
      <c r="M168" s="22" t="n">
        <v>5.489</v>
      </c>
      <c r="N168" s="8" t="n">
        <v>940.27</v>
      </c>
      <c r="O168" s="9"/>
      <c r="P168" s="10" t="str">
        <f aca="false">IF(O168="","",O168-N168)</f>
        <v/>
      </c>
    </row>
    <row r="169" customFormat="false" ht="15" hidden="false" customHeight="false" outlineLevel="0" collapsed="false">
      <c r="A169" s="7" t="n">
        <v>5793</v>
      </c>
      <c r="B169" s="7" t="s">
        <v>61</v>
      </c>
      <c r="C169" s="7" t="s">
        <v>272</v>
      </c>
      <c r="D169" s="7" t="s">
        <v>62</v>
      </c>
      <c r="E169" s="7" t="s">
        <v>74</v>
      </c>
      <c r="F169" s="7" t="s">
        <v>542</v>
      </c>
      <c r="G169" s="7" t="s">
        <v>295</v>
      </c>
      <c r="H169" s="7" t="s">
        <v>296</v>
      </c>
      <c r="I169" s="7" t="s">
        <v>609</v>
      </c>
      <c r="J169" s="22" t="n">
        <v>50</v>
      </c>
      <c r="K169" s="23"/>
      <c r="L169" s="24" t="str">
        <f aca="false">IF(K169="","",K169-J169)</f>
        <v/>
      </c>
      <c r="M169" s="22" t="n">
        <v>5.589</v>
      </c>
      <c r="N169" s="8" t="n">
        <v>279.45</v>
      </c>
      <c r="O169" s="9"/>
      <c r="P169" s="10" t="str">
        <f aca="false">IF(O169="","",O169-N169)</f>
        <v/>
      </c>
    </row>
    <row r="170" customFormat="false" ht="15" hidden="false" customHeight="false" outlineLevel="0" collapsed="false">
      <c r="A170" s="7" t="n">
        <v>5793</v>
      </c>
      <c r="B170" s="7" t="s">
        <v>61</v>
      </c>
      <c r="C170" s="7" t="s">
        <v>272</v>
      </c>
      <c r="D170" s="7" t="s">
        <v>62</v>
      </c>
      <c r="E170" s="7" t="s">
        <v>74</v>
      </c>
      <c r="F170" s="7" t="s">
        <v>545</v>
      </c>
      <c r="G170" s="7" t="s">
        <v>295</v>
      </c>
      <c r="H170" s="7" t="s">
        <v>493</v>
      </c>
      <c r="I170" s="7" t="s">
        <v>610</v>
      </c>
      <c r="J170" s="22" t="n">
        <v>172.491</v>
      </c>
      <c r="K170" s="23"/>
      <c r="L170" s="24" t="str">
        <f aca="false">IF(K170="","",K170-J170)</f>
        <v/>
      </c>
      <c r="M170" s="22" t="n">
        <v>5.549</v>
      </c>
      <c r="N170" s="8" t="n">
        <v>957.15</v>
      </c>
      <c r="O170" s="9"/>
      <c r="P170" s="10" t="str">
        <f aca="false">IF(O170="","",O170-N170)</f>
        <v/>
      </c>
    </row>
    <row r="171" customFormat="false" ht="15" hidden="false" customHeight="false" outlineLevel="0" collapsed="false">
      <c r="A171" s="7" t="n">
        <v>5793</v>
      </c>
      <c r="B171" s="7" t="s">
        <v>61</v>
      </c>
      <c r="C171" s="7" t="s">
        <v>272</v>
      </c>
      <c r="D171" s="7" t="s">
        <v>62</v>
      </c>
      <c r="E171" s="7" t="s">
        <v>74</v>
      </c>
      <c r="F171" s="7" t="s">
        <v>576</v>
      </c>
      <c r="G171" s="7" t="s">
        <v>295</v>
      </c>
      <c r="H171" s="7" t="s">
        <v>611</v>
      </c>
      <c r="I171" s="7" t="s">
        <v>612</v>
      </c>
      <c r="J171" s="22" t="n">
        <v>126.529</v>
      </c>
      <c r="K171" s="23"/>
      <c r="L171" s="24" t="str">
        <f aca="false">IF(K171="","",K171-J171)</f>
        <v/>
      </c>
      <c r="M171" s="22" t="n">
        <v>5.089</v>
      </c>
      <c r="N171" s="8" t="n">
        <v>643.91</v>
      </c>
      <c r="O171" s="9"/>
      <c r="P171" s="10" t="str">
        <f aca="false">IF(O171="","",O171-N171)</f>
        <v/>
      </c>
    </row>
    <row r="172" customFormat="false" ht="15" hidden="false" customHeight="false" outlineLevel="0" collapsed="false">
      <c r="A172" s="7" t="n">
        <v>5793</v>
      </c>
      <c r="B172" s="7" t="s">
        <v>61</v>
      </c>
      <c r="C172" s="7" t="s">
        <v>275</v>
      </c>
      <c r="D172" s="7" t="s">
        <v>62</v>
      </c>
      <c r="E172" s="7" t="s">
        <v>74</v>
      </c>
      <c r="F172" s="7" t="s">
        <v>578</v>
      </c>
      <c r="G172" s="7" t="s">
        <v>295</v>
      </c>
      <c r="H172" s="7" t="s">
        <v>613</v>
      </c>
      <c r="I172" s="7" t="s">
        <v>614</v>
      </c>
      <c r="J172" s="22" t="n">
        <v>111.08</v>
      </c>
      <c r="K172" s="23"/>
      <c r="L172" s="24" t="str">
        <f aca="false">IF(K172="","",K172-J172)</f>
        <v/>
      </c>
      <c r="M172" s="22" t="n">
        <v>5.489</v>
      </c>
      <c r="N172" s="8" t="n">
        <v>609.72</v>
      </c>
      <c r="O172" s="9"/>
      <c r="P172" s="10" t="str">
        <f aca="false">IF(O172="","",O172-N172)</f>
        <v/>
      </c>
    </row>
    <row r="173" customFormat="false" ht="15" hidden="false" customHeight="false" outlineLevel="0" collapsed="false">
      <c r="A173" s="7" t="n">
        <v>5793</v>
      </c>
      <c r="B173" s="7" t="s">
        <v>61</v>
      </c>
      <c r="C173" s="7" t="s">
        <v>275</v>
      </c>
      <c r="D173" s="7" t="s">
        <v>62</v>
      </c>
      <c r="E173" s="7" t="s">
        <v>74</v>
      </c>
      <c r="F173" s="7" t="s">
        <v>606</v>
      </c>
      <c r="G173" s="7" t="s">
        <v>295</v>
      </c>
      <c r="H173" s="7" t="s">
        <v>615</v>
      </c>
      <c r="I173" s="7" t="s">
        <v>616</v>
      </c>
      <c r="J173" s="22" t="n">
        <v>165.327</v>
      </c>
      <c r="K173" s="23"/>
      <c r="L173" s="24" t="str">
        <f aca="false">IF(K173="","",K173-J173)</f>
        <v/>
      </c>
      <c r="M173" s="22" t="n">
        <v>5.849</v>
      </c>
      <c r="N173" s="8" t="n">
        <v>967</v>
      </c>
      <c r="O173" s="9"/>
      <c r="P173" s="10" t="str">
        <f aca="false">IF(O173="","",O173-N173)</f>
        <v/>
      </c>
    </row>
    <row r="174" customFormat="false" ht="15" hidden="false" customHeight="false" outlineLevel="0" collapsed="false">
      <c r="A174" s="7" t="n">
        <v>5793</v>
      </c>
      <c r="B174" s="7" t="s">
        <v>61</v>
      </c>
      <c r="C174" s="7" t="s">
        <v>275</v>
      </c>
      <c r="D174" s="7" t="s">
        <v>62</v>
      </c>
      <c r="E174" s="7" t="s">
        <v>74</v>
      </c>
      <c r="F174" s="7" t="s">
        <v>617</v>
      </c>
      <c r="G174" s="7" t="s">
        <v>295</v>
      </c>
      <c r="H174" s="7" t="s">
        <v>493</v>
      </c>
      <c r="I174" s="7" t="s">
        <v>618</v>
      </c>
      <c r="J174" s="22" t="n">
        <v>83.779</v>
      </c>
      <c r="K174" s="23"/>
      <c r="L174" s="24" t="str">
        <f aca="false">IF(K174="","",K174-J174)</f>
        <v/>
      </c>
      <c r="M174" s="22" t="n">
        <v>5.789</v>
      </c>
      <c r="N174" s="8" t="n">
        <v>485</v>
      </c>
      <c r="O174" s="9"/>
      <c r="P174" s="10" t="str">
        <f aca="false">IF(O174="","",O174-N174)</f>
        <v/>
      </c>
    </row>
    <row r="175" customFormat="false" ht="15" hidden="false" customHeight="false" outlineLevel="0" collapsed="false">
      <c r="A175" s="7" t="n">
        <v>5794</v>
      </c>
      <c r="B175" s="7" t="s">
        <v>61</v>
      </c>
      <c r="C175" s="7" t="s">
        <v>278</v>
      </c>
      <c r="D175" s="7" t="s">
        <v>78</v>
      </c>
      <c r="E175" s="7" t="s">
        <v>67</v>
      </c>
      <c r="F175" s="7" t="s">
        <v>571</v>
      </c>
      <c r="G175" s="7" t="s">
        <v>295</v>
      </c>
      <c r="H175" s="7" t="s">
        <v>573</v>
      </c>
      <c r="I175" s="7" t="s">
        <v>619</v>
      </c>
      <c r="J175" s="22" t="n">
        <v>157.147</v>
      </c>
      <c r="K175" s="23"/>
      <c r="L175" s="24" t="str">
        <f aca="false">IF(K175="","",K175-J175)</f>
        <v/>
      </c>
      <c r="M175" s="22" t="n">
        <v>5.549</v>
      </c>
      <c r="N175" s="8" t="n">
        <v>872.01</v>
      </c>
      <c r="O175" s="9"/>
      <c r="P175" s="10" t="str">
        <f aca="false">IF(O175="","",O175-N175)</f>
        <v/>
      </c>
    </row>
    <row r="176" customFormat="false" ht="15" hidden="false" customHeight="false" outlineLevel="0" collapsed="false">
      <c r="A176" s="7" t="n">
        <v>5794</v>
      </c>
      <c r="B176" s="7" t="s">
        <v>61</v>
      </c>
      <c r="C176" s="7" t="s">
        <v>278</v>
      </c>
      <c r="D176" s="7" t="s">
        <v>78</v>
      </c>
      <c r="E176" s="7" t="s">
        <v>67</v>
      </c>
      <c r="F176" s="7" t="s">
        <v>596</v>
      </c>
      <c r="G176" s="7" t="s">
        <v>295</v>
      </c>
      <c r="H176" s="7" t="s">
        <v>620</v>
      </c>
      <c r="I176" s="7" t="s">
        <v>621</v>
      </c>
      <c r="J176" s="22" t="n">
        <v>95.229</v>
      </c>
      <c r="K176" s="23"/>
      <c r="L176" s="24" t="str">
        <f aca="false">IF(K176="","",K176-J176)</f>
        <v/>
      </c>
      <c r="M176" s="22" t="n">
        <v>5.489</v>
      </c>
      <c r="N176" s="8" t="n">
        <v>522.71</v>
      </c>
      <c r="O176" s="9"/>
      <c r="P176" s="10" t="str">
        <f aca="false">IF(O176="","",O176-N176)</f>
        <v/>
      </c>
    </row>
    <row r="177" customFormat="false" ht="15" hidden="false" customHeight="false" outlineLevel="0" collapsed="false">
      <c r="A177" s="7" t="n">
        <v>5794</v>
      </c>
      <c r="B177" s="7" t="s">
        <v>61</v>
      </c>
      <c r="C177" s="7" t="s">
        <v>280</v>
      </c>
      <c r="D177" s="7" t="s">
        <v>78</v>
      </c>
      <c r="E177" s="7" t="s">
        <v>67</v>
      </c>
      <c r="F177" s="7" t="s">
        <v>578</v>
      </c>
      <c r="G177" s="7" t="s">
        <v>295</v>
      </c>
      <c r="H177" s="7" t="s">
        <v>622</v>
      </c>
      <c r="I177" s="7" t="s">
        <v>623</v>
      </c>
      <c r="J177" s="22" t="n">
        <v>60.15</v>
      </c>
      <c r="K177" s="23"/>
      <c r="L177" s="24" t="str">
        <f aca="false">IF(K177="","",K177-J177)</f>
        <v/>
      </c>
      <c r="M177" s="22" t="n">
        <v>5.789</v>
      </c>
      <c r="N177" s="8" t="n">
        <v>348.21</v>
      </c>
      <c r="O177" s="9"/>
      <c r="P177" s="10" t="str">
        <f aca="false">IF(O177="","",O177-N177)</f>
        <v/>
      </c>
    </row>
    <row r="178" customFormat="false" ht="15" hidden="false" customHeight="false" outlineLevel="0" collapsed="false">
      <c r="A178" s="7" t="n">
        <v>5794</v>
      </c>
      <c r="B178" s="7" t="s">
        <v>61</v>
      </c>
      <c r="C178" s="7" t="s">
        <v>280</v>
      </c>
      <c r="D178" s="7" t="s">
        <v>78</v>
      </c>
      <c r="E178" s="7" t="s">
        <v>67</v>
      </c>
      <c r="F178" s="7" t="s">
        <v>606</v>
      </c>
      <c r="G178" s="7" t="s">
        <v>295</v>
      </c>
      <c r="H178" s="7" t="s">
        <v>624</v>
      </c>
      <c r="I178" s="7" t="s">
        <v>625</v>
      </c>
      <c r="J178" s="22" t="n">
        <v>35.128</v>
      </c>
      <c r="K178" s="23"/>
      <c r="L178" s="24" t="str">
        <f aca="false">IF(K178="","",K178-J178)</f>
        <v/>
      </c>
      <c r="M178" s="22" t="n">
        <v>5.989</v>
      </c>
      <c r="N178" s="8" t="n">
        <v>210.38</v>
      </c>
      <c r="O178" s="9"/>
      <c r="P178" s="10" t="str">
        <f aca="false">IF(O178="","",O178-N178)</f>
        <v/>
      </c>
    </row>
    <row r="179" customFormat="false" ht="15" hidden="false" customHeight="false" outlineLevel="0" collapsed="false">
      <c r="A179" s="7" t="n">
        <v>5794</v>
      </c>
      <c r="B179" s="7" t="s">
        <v>61</v>
      </c>
      <c r="C179" s="7" t="s">
        <v>280</v>
      </c>
      <c r="D179" s="7" t="s">
        <v>78</v>
      </c>
      <c r="E179" s="7" t="s">
        <v>67</v>
      </c>
      <c r="F179" s="7" t="s">
        <v>606</v>
      </c>
      <c r="G179" s="7" t="s">
        <v>295</v>
      </c>
      <c r="H179" s="7" t="s">
        <v>626</v>
      </c>
      <c r="I179" s="7" t="s">
        <v>627</v>
      </c>
      <c r="J179" s="22" t="n">
        <v>162.644</v>
      </c>
      <c r="K179" s="23"/>
      <c r="L179" s="24" t="str">
        <f aca="false">IF(K179="","",K179-J179)</f>
        <v/>
      </c>
      <c r="M179" s="22" t="n">
        <v>5.889</v>
      </c>
      <c r="N179" s="8" t="n">
        <v>957.81</v>
      </c>
      <c r="O179" s="9"/>
      <c r="P179" s="10" t="str">
        <f aca="false">IF(O179="","",O179-N179)</f>
        <v/>
      </c>
    </row>
    <row r="180" customFormat="false" ht="15" hidden="false" customHeight="false" outlineLevel="0" collapsed="false">
      <c r="A180" s="7" t="n">
        <v>5794</v>
      </c>
      <c r="B180" s="7" t="s">
        <v>61</v>
      </c>
      <c r="C180" s="7" t="s">
        <v>280</v>
      </c>
      <c r="D180" s="7" t="s">
        <v>78</v>
      </c>
      <c r="E180" s="7" t="s">
        <v>67</v>
      </c>
      <c r="F180" s="7" t="s">
        <v>617</v>
      </c>
      <c r="G180" s="7" t="s">
        <v>295</v>
      </c>
      <c r="H180" s="7" t="s">
        <v>628</v>
      </c>
      <c r="I180" s="7" t="s">
        <v>629</v>
      </c>
      <c r="J180" s="22" t="n">
        <v>135.302</v>
      </c>
      <c r="K180" s="23"/>
      <c r="L180" s="24" t="str">
        <f aca="false">IF(K180="","",K180-J180)</f>
        <v/>
      </c>
      <c r="M180" s="22" t="n">
        <v>5.889</v>
      </c>
      <c r="N180" s="8" t="n">
        <v>796.79</v>
      </c>
      <c r="O180" s="9"/>
      <c r="P180" s="10" t="str">
        <f aca="false">IF(O180="","",O180-N180)</f>
        <v/>
      </c>
    </row>
    <row r="181" customFormat="false" ht="15" hidden="false" customHeight="false" outlineLevel="0" collapsed="false">
      <c r="A181" s="7" t="n">
        <v>5795</v>
      </c>
      <c r="B181" s="7" t="s">
        <v>61</v>
      </c>
      <c r="C181" s="7" t="s">
        <v>281</v>
      </c>
      <c r="D181" s="7" t="s">
        <v>91</v>
      </c>
      <c r="E181" s="7" t="s">
        <v>92</v>
      </c>
      <c r="F181" s="7" t="s">
        <v>596</v>
      </c>
      <c r="G181" s="7" t="s">
        <v>295</v>
      </c>
      <c r="H181" s="7" t="s">
        <v>493</v>
      </c>
      <c r="I181" s="7" t="s">
        <v>630</v>
      </c>
      <c r="J181" s="22" t="n">
        <v>62.016</v>
      </c>
      <c r="K181" s="23"/>
      <c r="L181" s="24" t="str">
        <f aca="false">IF(K181="","",K181-J181)</f>
        <v/>
      </c>
      <c r="M181" s="22" t="n">
        <v>5.489</v>
      </c>
      <c r="N181" s="8" t="n">
        <v>340.41</v>
      </c>
      <c r="O181" s="9"/>
      <c r="P181" s="10" t="str">
        <f aca="false">IF(O181="","",O181-N181)</f>
        <v/>
      </c>
    </row>
    <row r="182" customFormat="false" ht="15" hidden="false" customHeight="false" outlineLevel="0" collapsed="false">
      <c r="A182" s="7" t="n">
        <v>5795</v>
      </c>
      <c r="B182" s="7" t="s">
        <v>61</v>
      </c>
      <c r="C182" s="7" t="s">
        <v>281</v>
      </c>
      <c r="D182" s="7" t="s">
        <v>91</v>
      </c>
      <c r="E182" s="7" t="s">
        <v>92</v>
      </c>
      <c r="F182" s="7" t="s">
        <v>578</v>
      </c>
      <c r="G182" s="7" t="s">
        <v>295</v>
      </c>
      <c r="H182" s="7" t="s">
        <v>631</v>
      </c>
      <c r="I182" s="7" t="s">
        <v>632</v>
      </c>
      <c r="J182" s="22" t="n">
        <v>119.333</v>
      </c>
      <c r="K182" s="23"/>
      <c r="L182" s="24" t="str">
        <f aca="false">IF(K182="","",K182-J182)</f>
        <v/>
      </c>
      <c r="M182" s="22" t="n">
        <v>5.549</v>
      </c>
      <c r="N182" s="8" t="n">
        <v>662.18</v>
      </c>
      <c r="O182" s="9"/>
      <c r="P182" s="10" t="str">
        <f aca="false">IF(O182="","",O182-N182)</f>
        <v/>
      </c>
    </row>
    <row r="183" customFormat="false" ht="15" hidden="false" customHeight="false" outlineLevel="0" collapsed="false">
      <c r="A183" s="7" t="n">
        <v>5795</v>
      </c>
      <c r="B183" s="7" t="s">
        <v>61</v>
      </c>
      <c r="C183" s="7" t="s">
        <v>282</v>
      </c>
      <c r="D183" s="7" t="s">
        <v>91</v>
      </c>
      <c r="E183" s="7" t="s">
        <v>92</v>
      </c>
      <c r="F183" s="7" t="s">
        <v>606</v>
      </c>
      <c r="G183" s="7" t="s">
        <v>295</v>
      </c>
      <c r="H183" s="7" t="s">
        <v>633</v>
      </c>
      <c r="I183" s="7" t="s">
        <v>634</v>
      </c>
      <c r="J183" s="22" t="n">
        <v>137.143</v>
      </c>
      <c r="K183" s="23"/>
      <c r="L183" s="24" t="str">
        <f aca="false">IF(K183="","",K183-J183)</f>
        <v/>
      </c>
      <c r="M183" s="22" t="n">
        <v>5.489</v>
      </c>
      <c r="N183" s="8" t="n">
        <v>752.78</v>
      </c>
      <c r="O183" s="9"/>
      <c r="P183" s="10" t="str">
        <f aca="false">IF(O183="","",O183-N183)</f>
        <v/>
      </c>
    </row>
    <row r="184" customFormat="false" ht="15" hidden="false" customHeight="false" outlineLevel="0" collapsed="false">
      <c r="A184" s="7" t="n">
        <v>5795</v>
      </c>
      <c r="B184" s="7" t="s">
        <v>61</v>
      </c>
      <c r="C184" s="7" t="s">
        <v>282</v>
      </c>
      <c r="D184" s="7" t="s">
        <v>91</v>
      </c>
      <c r="E184" s="7" t="s">
        <v>92</v>
      </c>
      <c r="F184" s="7" t="s">
        <v>617</v>
      </c>
      <c r="G184" s="7" t="s">
        <v>295</v>
      </c>
      <c r="H184" s="7" t="s">
        <v>500</v>
      </c>
      <c r="I184" s="7" t="s">
        <v>635</v>
      </c>
      <c r="J184" s="22" t="n">
        <v>158.828</v>
      </c>
      <c r="K184" s="23"/>
      <c r="L184" s="24" t="str">
        <f aca="false">IF(K184="","",K184-J184)</f>
        <v/>
      </c>
      <c r="M184" s="22" t="n">
        <v>5.849</v>
      </c>
      <c r="N184" s="8" t="n">
        <v>928.98</v>
      </c>
      <c r="O184" s="9"/>
      <c r="P184" s="10" t="str">
        <f aca="false">IF(O184="","",O184-N184)</f>
        <v/>
      </c>
    </row>
    <row r="185" customFormat="false" ht="15" hidden="false" customHeight="false" outlineLevel="0" collapsed="false">
      <c r="A185" s="12" t="s">
        <v>95</v>
      </c>
      <c r="J185" s="25" t="n">
        <f aca="false">SUM(J5:J184)</f>
        <v>21775.99</v>
      </c>
      <c r="K185" s="25" t="n">
        <f aca="false">SUM(K5:K184)</f>
        <v>0</v>
      </c>
      <c r="L185" s="25" t="n">
        <f aca="false">SUM(L5:L184)</f>
        <v>0</v>
      </c>
      <c r="N185" s="14" t="n">
        <f aca="false">SUM(N5:N184)</f>
        <v>119550.3</v>
      </c>
      <c r="O185" s="14" t="n">
        <f aca="false">SUM(O5:O184)</f>
        <v>0</v>
      </c>
      <c r="P185" s="14" t="n">
        <f aca="false">SUM(P5:P184)</f>
        <v>0</v>
      </c>
    </row>
  </sheetData>
  <autoFilter ref="A4:P184"/>
  <conditionalFormatting sqref="L5:L184">
    <cfRule type="cellIs" priority="2" operator="notEqual" aboveAverage="0" equalAverage="0" bottom="0" percent="0" rank="0" text="" dxfId="6">
      <formula>0</formula>
    </cfRule>
  </conditionalFormatting>
  <conditionalFormatting sqref="P5:P184">
    <cfRule type="cellIs" priority="3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6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1" t="s">
        <v>636</v>
      </c>
    </row>
    <row r="2" customFormat="false" ht="15" hidden="false" customHeight="false" outlineLevel="0" collapsed="false">
      <c r="A2" s="4" t="s">
        <v>637</v>
      </c>
    </row>
    <row r="4" customFormat="false" ht="31.5" hidden="false" customHeight="true" outlineLevel="0" collapsed="false">
      <c r="A4" s="5" t="s">
        <v>39</v>
      </c>
      <c r="B4" s="5" t="s">
        <v>40</v>
      </c>
      <c r="C4" s="5" t="s">
        <v>98</v>
      </c>
      <c r="D4" s="5" t="s">
        <v>41</v>
      </c>
      <c r="E4" s="5" t="s">
        <v>638</v>
      </c>
      <c r="F4" s="5" t="s">
        <v>639</v>
      </c>
      <c r="G4" s="5" t="s">
        <v>292</v>
      </c>
      <c r="H4" s="5" t="s">
        <v>293</v>
      </c>
      <c r="I4" s="5" t="s">
        <v>47</v>
      </c>
    </row>
    <row r="5" customFormat="false" ht="15" hidden="false" customHeight="false" outlineLevel="0" collapsed="false">
      <c r="A5" s="7" t="n">
        <v>5753</v>
      </c>
      <c r="B5" s="7" t="s">
        <v>61</v>
      </c>
      <c r="C5" s="7" t="s">
        <v>120</v>
      </c>
      <c r="D5" s="7" t="s">
        <v>62</v>
      </c>
      <c r="E5" s="7" t="s">
        <v>640</v>
      </c>
      <c r="F5" s="7" t="s">
        <v>641</v>
      </c>
      <c r="G5" s="8" t="n">
        <v>25</v>
      </c>
      <c r="H5" s="9"/>
      <c r="I5" s="10" t="str">
        <f aca="false">IF(H5="","",H5-G5)</f>
        <v/>
      </c>
    </row>
    <row r="6" customFormat="false" ht="15" hidden="false" customHeight="false" outlineLevel="0" collapsed="false">
      <c r="A6" s="7" t="n">
        <v>5753</v>
      </c>
      <c r="B6" s="7" t="s">
        <v>61</v>
      </c>
      <c r="C6" s="7" t="s">
        <v>120</v>
      </c>
      <c r="D6" s="7" t="s">
        <v>62</v>
      </c>
      <c r="E6" s="7" t="s">
        <v>640</v>
      </c>
      <c r="F6" s="7" t="s">
        <v>642</v>
      </c>
      <c r="G6" s="8" t="n">
        <v>25</v>
      </c>
      <c r="H6" s="9"/>
      <c r="I6" s="10" t="str">
        <f aca="false">IF(H6="","",H6-G6)</f>
        <v/>
      </c>
    </row>
    <row r="7" customFormat="false" ht="15" hidden="false" customHeight="false" outlineLevel="0" collapsed="false">
      <c r="A7" s="7" t="n">
        <v>5753</v>
      </c>
      <c r="B7" s="7" t="s">
        <v>61</v>
      </c>
      <c r="C7" s="7" t="s">
        <v>124</v>
      </c>
      <c r="D7" s="7" t="s">
        <v>62</v>
      </c>
      <c r="E7" s="7" t="s">
        <v>640</v>
      </c>
      <c r="F7" s="7" t="s">
        <v>642</v>
      </c>
      <c r="G7" s="8" t="n">
        <v>25</v>
      </c>
      <c r="H7" s="9"/>
      <c r="I7" s="10" t="str">
        <f aca="false">IF(H7="","",H7-G7)</f>
        <v/>
      </c>
    </row>
    <row r="8" customFormat="false" ht="15" hidden="false" customHeight="false" outlineLevel="0" collapsed="false">
      <c r="A8" s="7" t="n">
        <v>5753</v>
      </c>
      <c r="B8" s="7" t="s">
        <v>61</v>
      </c>
      <c r="C8" s="7" t="s">
        <v>124</v>
      </c>
      <c r="D8" s="7" t="s">
        <v>62</v>
      </c>
      <c r="E8" s="7" t="s">
        <v>640</v>
      </c>
      <c r="F8" s="7" t="s">
        <v>641</v>
      </c>
      <c r="G8" s="8" t="n">
        <v>25</v>
      </c>
      <c r="H8" s="9"/>
      <c r="I8" s="10" t="str">
        <f aca="false">IF(H8="","",H8-G8)</f>
        <v/>
      </c>
    </row>
    <row r="9" customFormat="false" ht="15" hidden="false" customHeight="false" outlineLevel="0" collapsed="false">
      <c r="A9" s="7" t="n">
        <v>5753</v>
      </c>
      <c r="B9" s="7" t="s">
        <v>61</v>
      </c>
      <c r="C9" s="7" t="s">
        <v>124</v>
      </c>
      <c r="D9" s="7" t="s">
        <v>62</v>
      </c>
      <c r="E9" s="7" t="s">
        <v>643</v>
      </c>
      <c r="F9" s="7" t="s">
        <v>644</v>
      </c>
      <c r="G9" s="8" t="n">
        <v>-10</v>
      </c>
      <c r="H9" s="9"/>
      <c r="I9" s="10" t="str">
        <f aca="false">IF(H9="","",H9-G9)</f>
        <v/>
      </c>
    </row>
    <row r="10" customFormat="false" ht="15" hidden="false" customHeight="false" outlineLevel="0" collapsed="false">
      <c r="A10" s="7" t="n">
        <v>5760</v>
      </c>
      <c r="B10" s="7" t="s">
        <v>61</v>
      </c>
      <c r="C10" s="7" t="s">
        <v>127</v>
      </c>
      <c r="D10" s="7" t="s">
        <v>64</v>
      </c>
      <c r="E10" s="7" t="s">
        <v>643</v>
      </c>
      <c r="F10" s="7" t="s">
        <v>645</v>
      </c>
      <c r="G10" s="8" t="n">
        <v>-25</v>
      </c>
      <c r="H10" s="9"/>
      <c r="I10" s="10" t="str">
        <f aca="false">IF(H10="","",H10-G10)</f>
        <v/>
      </c>
    </row>
    <row r="11" customFormat="false" ht="15" hidden="false" customHeight="false" outlineLevel="0" collapsed="false">
      <c r="A11" s="7" t="n">
        <v>5760</v>
      </c>
      <c r="B11" s="7" t="s">
        <v>61</v>
      </c>
      <c r="C11" s="7" t="s">
        <v>130</v>
      </c>
      <c r="D11" s="7" t="s">
        <v>64</v>
      </c>
      <c r="E11" s="7" t="s">
        <v>643</v>
      </c>
      <c r="F11" s="7" t="s">
        <v>645</v>
      </c>
      <c r="G11" s="8" t="n">
        <v>-25</v>
      </c>
      <c r="H11" s="9"/>
      <c r="I11" s="10" t="str">
        <f aca="false">IF(H11="","",H11-G11)</f>
        <v/>
      </c>
    </row>
    <row r="12" customFormat="false" ht="15" hidden="false" customHeight="false" outlineLevel="0" collapsed="false">
      <c r="A12" s="7" t="n">
        <v>5761</v>
      </c>
      <c r="B12" s="7" t="s">
        <v>61</v>
      </c>
      <c r="C12" s="7" t="s">
        <v>132</v>
      </c>
      <c r="D12" s="7" t="s">
        <v>66</v>
      </c>
      <c r="E12" s="7" t="s">
        <v>640</v>
      </c>
      <c r="F12" s="7" t="s">
        <v>646</v>
      </c>
      <c r="G12" s="8" t="n">
        <v>5</v>
      </c>
      <c r="H12" s="9"/>
      <c r="I12" s="10" t="str">
        <f aca="false">IF(H12="","",H12-G12)</f>
        <v/>
      </c>
    </row>
    <row r="13" customFormat="false" ht="15" hidden="false" customHeight="false" outlineLevel="0" collapsed="false">
      <c r="A13" s="7" t="n">
        <v>5761</v>
      </c>
      <c r="B13" s="7" t="s">
        <v>61</v>
      </c>
      <c r="C13" s="7" t="s">
        <v>132</v>
      </c>
      <c r="D13" s="7" t="s">
        <v>66</v>
      </c>
      <c r="E13" s="7" t="s">
        <v>643</v>
      </c>
      <c r="F13" s="7" t="s">
        <v>645</v>
      </c>
      <c r="G13" s="8" t="n">
        <v>-25</v>
      </c>
      <c r="H13" s="9"/>
      <c r="I13" s="10" t="str">
        <f aca="false">IF(H13="","",H13-G13)</f>
        <v/>
      </c>
    </row>
    <row r="14" customFormat="false" ht="15" hidden="false" customHeight="false" outlineLevel="0" collapsed="false">
      <c r="A14" s="7" t="n">
        <v>5761</v>
      </c>
      <c r="B14" s="7" t="s">
        <v>61</v>
      </c>
      <c r="C14" s="7" t="s">
        <v>135</v>
      </c>
      <c r="D14" s="7" t="s">
        <v>66</v>
      </c>
      <c r="E14" s="7" t="s">
        <v>643</v>
      </c>
      <c r="F14" s="7" t="s">
        <v>645</v>
      </c>
      <c r="G14" s="8" t="n">
        <v>-25</v>
      </c>
      <c r="H14" s="9"/>
      <c r="I14" s="10" t="str">
        <f aca="false">IF(H14="","",H14-G14)</f>
        <v/>
      </c>
    </row>
    <row r="15" customFormat="false" ht="15" hidden="false" customHeight="false" outlineLevel="0" collapsed="false">
      <c r="A15" s="7" t="n">
        <v>5761</v>
      </c>
      <c r="B15" s="7" t="s">
        <v>61</v>
      </c>
      <c r="C15" s="7" t="s">
        <v>135</v>
      </c>
      <c r="D15" s="7" t="s">
        <v>66</v>
      </c>
      <c r="E15" s="7" t="s">
        <v>643</v>
      </c>
      <c r="F15" s="7" t="s">
        <v>647</v>
      </c>
      <c r="G15" s="8" t="n">
        <v>-10</v>
      </c>
      <c r="H15" s="9"/>
      <c r="I15" s="10" t="str">
        <f aca="false">IF(H15="","",H15-G15)</f>
        <v/>
      </c>
    </row>
    <row r="16" customFormat="false" ht="15" hidden="false" customHeight="false" outlineLevel="0" collapsed="false">
      <c r="A16" s="7" t="n">
        <v>5761</v>
      </c>
      <c r="B16" s="7" t="s">
        <v>61</v>
      </c>
      <c r="C16" s="7" t="s">
        <v>135</v>
      </c>
      <c r="D16" s="7" t="s">
        <v>66</v>
      </c>
      <c r="E16" s="7" t="s">
        <v>643</v>
      </c>
      <c r="F16" s="7" t="s">
        <v>648</v>
      </c>
      <c r="G16" s="8" t="n">
        <v>-55</v>
      </c>
      <c r="H16" s="9"/>
      <c r="I16" s="10" t="str">
        <f aca="false">IF(H16="","",H16-G16)</f>
        <v/>
      </c>
    </row>
    <row r="17" customFormat="false" ht="15" hidden="false" customHeight="false" outlineLevel="0" collapsed="false">
      <c r="A17" s="7" t="n">
        <v>5761</v>
      </c>
      <c r="B17" s="7" t="s">
        <v>61</v>
      </c>
      <c r="C17" s="7" t="s">
        <v>132</v>
      </c>
      <c r="D17" s="7" t="s">
        <v>66</v>
      </c>
      <c r="E17" s="7" t="s">
        <v>649</v>
      </c>
      <c r="F17" s="7" t="s">
        <v>650</v>
      </c>
      <c r="G17" s="8" t="n">
        <v>15.25</v>
      </c>
      <c r="H17" s="9"/>
      <c r="I17" s="10" t="str">
        <f aca="false">IF(H17="","",H17-G17)</f>
        <v/>
      </c>
    </row>
    <row r="18" customFormat="false" ht="15" hidden="false" customHeight="false" outlineLevel="0" collapsed="false">
      <c r="A18" s="7" t="n">
        <v>5761</v>
      </c>
      <c r="B18" s="7" t="s">
        <v>61</v>
      </c>
      <c r="C18" s="7" t="s">
        <v>135</v>
      </c>
      <c r="D18" s="7" t="s">
        <v>66</v>
      </c>
      <c r="E18" s="7" t="s">
        <v>649</v>
      </c>
      <c r="F18" s="7" t="s">
        <v>651</v>
      </c>
      <c r="G18" s="8" t="n">
        <v>6.3</v>
      </c>
      <c r="H18" s="9"/>
      <c r="I18" s="10" t="str">
        <f aca="false">IF(H18="","",H18-G18)</f>
        <v/>
      </c>
    </row>
    <row r="19" customFormat="false" ht="15" hidden="false" customHeight="false" outlineLevel="0" collapsed="false">
      <c r="A19" s="7" t="n">
        <v>5761</v>
      </c>
      <c r="B19" s="7" t="s">
        <v>61</v>
      </c>
      <c r="C19" s="7" t="s">
        <v>135</v>
      </c>
      <c r="D19" s="7" t="s">
        <v>66</v>
      </c>
      <c r="E19" s="7" t="s">
        <v>649</v>
      </c>
      <c r="F19" s="7" t="s">
        <v>650</v>
      </c>
      <c r="G19" s="8" t="n">
        <v>15.25</v>
      </c>
      <c r="H19" s="9"/>
      <c r="I19" s="10" t="str">
        <f aca="false">IF(H19="","",H19-G19)</f>
        <v/>
      </c>
    </row>
    <row r="20" customFormat="false" ht="15" hidden="false" customHeight="false" outlineLevel="0" collapsed="false">
      <c r="A20" s="7" t="n">
        <v>5761</v>
      </c>
      <c r="B20" s="7" t="s">
        <v>61</v>
      </c>
      <c r="C20" s="7" t="s">
        <v>135</v>
      </c>
      <c r="D20" s="7" t="s">
        <v>66</v>
      </c>
      <c r="E20" s="7" t="s">
        <v>649</v>
      </c>
      <c r="F20" s="7" t="s">
        <v>650</v>
      </c>
      <c r="G20" s="8" t="n">
        <v>5.25</v>
      </c>
      <c r="H20" s="9"/>
      <c r="I20" s="10" t="str">
        <f aca="false">IF(H20="","",H20-G20)</f>
        <v/>
      </c>
    </row>
    <row r="21" customFormat="false" ht="15" hidden="false" customHeight="false" outlineLevel="0" collapsed="false">
      <c r="A21" s="7" t="n">
        <v>5761</v>
      </c>
      <c r="B21" s="7" t="s">
        <v>61</v>
      </c>
      <c r="C21" s="7" t="s">
        <v>135</v>
      </c>
      <c r="D21" s="7" t="s">
        <v>66</v>
      </c>
      <c r="E21" s="7" t="s">
        <v>649</v>
      </c>
      <c r="F21" s="7" t="s">
        <v>652</v>
      </c>
      <c r="G21" s="8" t="n">
        <v>3.6</v>
      </c>
      <c r="H21" s="9"/>
      <c r="I21" s="10" t="str">
        <f aca="false">IF(H21="","",H21-G21)</f>
        <v/>
      </c>
    </row>
    <row r="22" customFormat="false" ht="15" hidden="false" customHeight="false" outlineLevel="0" collapsed="false">
      <c r="A22" s="7" t="n">
        <v>5761</v>
      </c>
      <c r="B22" s="7" t="s">
        <v>61</v>
      </c>
      <c r="C22" s="7" t="s">
        <v>135</v>
      </c>
      <c r="D22" s="7" t="s">
        <v>66</v>
      </c>
      <c r="E22" s="7" t="s">
        <v>649</v>
      </c>
      <c r="F22" s="7" t="s">
        <v>653</v>
      </c>
      <c r="G22" s="8" t="n">
        <v>50</v>
      </c>
      <c r="H22" s="9"/>
      <c r="I22" s="10" t="str">
        <f aca="false">IF(H22="","",H22-G22)</f>
        <v/>
      </c>
    </row>
    <row r="23" customFormat="false" ht="15" hidden="false" customHeight="false" outlineLevel="0" collapsed="false">
      <c r="A23" s="7" t="n">
        <v>5761</v>
      </c>
      <c r="B23" s="7" t="s">
        <v>61</v>
      </c>
      <c r="C23" s="7" t="s">
        <v>135</v>
      </c>
      <c r="D23" s="7" t="s">
        <v>66</v>
      </c>
      <c r="E23" s="7" t="s">
        <v>649</v>
      </c>
      <c r="F23" s="7" t="s">
        <v>654</v>
      </c>
      <c r="G23" s="8" t="n">
        <v>100</v>
      </c>
      <c r="H23" s="9"/>
      <c r="I23" s="10" t="str">
        <f aca="false">IF(H23="","",H23-G23)</f>
        <v/>
      </c>
    </row>
    <row r="24" customFormat="false" ht="15" hidden="false" customHeight="false" outlineLevel="0" collapsed="false">
      <c r="A24" s="7" t="n">
        <v>5762</v>
      </c>
      <c r="B24" s="7" t="s">
        <v>61</v>
      </c>
      <c r="C24" s="7" t="s">
        <v>137</v>
      </c>
      <c r="D24" s="7" t="s">
        <v>68</v>
      </c>
      <c r="E24" s="7" t="s">
        <v>643</v>
      </c>
      <c r="F24" s="7" t="s">
        <v>645</v>
      </c>
      <c r="G24" s="8" t="n">
        <v>-25</v>
      </c>
      <c r="H24" s="9"/>
      <c r="I24" s="10" t="str">
        <f aca="false">IF(H24="","",H24-G24)</f>
        <v/>
      </c>
    </row>
    <row r="25" customFormat="false" ht="15" hidden="false" customHeight="false" outlineLevel="0" collapsed="false">
      <c r="A25" s="7" t="n">
        <v>5762</v>
      </c>
      <c r="B25" s="7" t="s">
        <v>61</v>
      </c>
      <c r="C25" s="7" t="s">
        <v>137</v>
      </c>
      <c r="D25" s="7" t="s">
        <v>68</v>
      </c>
      <c r="E25" s="7" t="s">
        <v>643</v>
      </c>
      <c r="F25" s="7" t="s">
        <v>647</v>
      </c>
      <c r="G25" s="8" t="n">
        <v>-10</v>
      </c>
      <c r="H25" s="9"/>
      <c r="I25" s="10" t="str">
        <f aca="false">IF(H25="","",H25-G25)</f>
        <v/>
      </c>
    </row>
    <row r="26" customFormat="false" ht="15" hidden="false" customHeight="false" outlineLevel="0" collapsed="false">
      <c r="A26" s="7" t="n">
        <v>5762</v>
      </c>
      <c r="B26" s="7" t="s">
        <v>61</v>
      </c>
      <c r="C26" s="7" t="s">
        <v>137</v>
      </c>
      <c r="D26" s="7" t="s">
        <v>68</v>
      </c>
      <c r="E26" s="7" t="s">
        <v>643</v>
      </c>
      <c r="F26" s="7" t="s">
        <v>648</v>
      </c>
      <c r="G26" s="8" t="n">
        <v>-48</v>
      </c>
      <c r="H26" s="9"/>
      <c r="I26" s="10" t="str">
        <f aca="false">IF(H26="","",H26-G26)</f>
        <v/>
      </c>
    </row>
    <row r="27" customFormat="false" ht="15" hidden="false" customHeight="false" outlineLevel="0" collapsed="false">
      <c r="A27" s="7" t="n">
        <v>5762</v>
      </c>
      <c r="B27" s="7" t="s">
        <v>61</v>
      </c>
      <c r="C27" s="7" t="s">
        <v>139</v>
      </c>
      <c r="D27" s="7" t="s">
        <v>68</v>
      </c>
      <c r="E27" s="7" t="s">
        <v>643</v>
      </c>
      <c r="F27" s="7" t="s">
        <v>645</v>
      </c>
      <c r="G27" s="8" t="n">
        <v>-25</v>
      </c>
      <c r="H27" s="9"/>
      <c r="I27" s="10" t="str">
        <f aca="false">IF(H27="","",H27-G27)</f>
        <v/>
      </c>
    </row>
    <row r="28" customFormat="false" ht="15" hidden="false" customHeight="false" outlineLevel="0" collapsed="false">
      <c r="A28" s="7" t="n">
        <v>5762</v>
      </c>
      <c r="B28" s="7" t="s">
        <v>61</v>
      </c>
      <c r="C28" s="7" t="s">
        <v>137</v>
      </c>
      <c r="D28" s="7" t="s">
        <v>68</v>
      </c>
      <c r="E28" s="7" t="s">
        <v>649</v>
      </c>
      <c r="F28" s="7" t="s">
        <v>655</v>
      </c>
      <c r="G28" s="8" t="n">
        <v>45.85</v>
      </c>
      <c r="H28" s="9"/>
      <c r="I28" s="10" t="str">
        <f aca="false">IF(H28="","",H28-G28)</f>
        <v/>
      </c>
    </row>
    <row r="29" customFormat="false" ht="15" hidden="false" customHeight="false" outlineLevel="0" collapsed="false">
      <c r="A29" s="7" t="n">
        <v>5762</v>
      </c>
      <c r="B29" s="7" t="s">
        <v>61</v>
      </c>
      <c r="C29" s="7" t="s">
        <v>139</v>
      </c>
      <c r="D29" s="7" t="s">
        <v>68</v>
      </c>
      <c r="E29" s="7" t="s">
        <v>649</v>
      </c>
      <c r="F29" s="7" t="s">
        <v>650</v>
      </c>
      <c r="G29" s="8" t="n">
        <v>15.25</v>
      </c>
      <c r="H29" s="9"/>
      <c r="I29" s="10" t="str">
        <f aca="false">IF(H29="","",H29-G29)</f>
        <v/>
      </c>
    </row>
    <row r="30" customFormat="false" ht="15" hidden="false" customHeight="false" outlineLevel="0" collapsed="false">
      <c r="A30" s="7" t="n">
        <v>5763</v>
      </c>
      <c r="B30" s="7" t="s">
        <v>61</v>
      </c>
      <c r="C30" s="7" t="s">
        <v>144</v>
      </c>
      <c r="D30" s="7" t="s">
        <v>70</v>
      </c>
      <c r="E30" s="7" t="s">
        <v>640</v>
      </c>
      <c r="F30" s="7" t="s">
        <v>656</v>
      </c>
      <c r="G30" s="8" t="n">
        <v>100</v>
      </c>
      <c r="H30" s="9"/>
      <c r="I30" s="10" t="str">
        <f aca="false">IF(H30="","",H30-G30)</f>
        <v/>
      </c>
    </row>
    <row r="31" customFormat="false" ht="15" hidden="false" customHeight="false" outlineLevel="0" collapsed="false">
      <c r="A31" s="7" t="n">
        <v>5763</v>
      </c>
      <c r="B31" s="7" t="s">
        <v>61</v>
      </c>
      <c r="C31" s="7" t="s">
        <v>141</v>
      </c>
      <c r="D31" s="7" t="s">
        <v>70</v>
      </c>
      <c r="E31" s="7" t="s">
        <v>643</v>
      </c>
      <c r="F31" s="7" t="s">
        <v>657</v>
      </c>
      <c r="G31" s="8" t="n">
        <v>-25</v>
      </c>
      <c r="H31" s="9"/>
      <c r="I31" s="10" t="str">
        <f aca="false">IF(H31="","",H31-G31)</f>
        <v/>
      </c>
    </row>
    <row r="32" customFormat="false" ht="15" hidden="false" customHeight="false" outlineLevel="0" collapsed="false">
      <c r="A32" s="7" t="n">
        <v>5763</v>
      </c>
      <c r="B32" s="7" t="s">
        <v>61</v>
      </c>
      <c r="C32" s="7" t="s">
        <v>144</v>
      </c>
      <c r="D32" s="7" t="s">
        <v>70</v>
      </c>
      <c r="E32" s="7" t="s">
        <v>643</v>
      </c>
      <c r="F32" s="7" t="s">
        <v>657</v>
      </c>
      <c r="G32" s="8" t="n">
        <v>-25</v>
      </c>
      <c r="H32" s="9"/>
      <c r="I32" s="10" t="str">
        <f aca="false">IF(H32="","",H32-G32)</f>
        <v/>
      </c>
    </row>
    <row r="33" customFormat="false" ht="15" hidden="false" customHeight="false" outlineLevel="0" collapsed="false">
      <c r="A33" s="7" t="n">
        <v>5763</v>
      </c>
      <c r="B33" s="7" t="s">
        <v>61</v>
      </c>
      <c r="C33" s="7" t="s">
        <v>144</v>
      </c>
      <c r="D33" s="7" t="s">
        <v>70</v>
      </c>
      <c r="E33" s="7" t="s">
        <v>643</v>
      </c>
      <c r="F33" s="7" t="s">
        <v>658</v>
      </c>
      <c r="G33" s="8" t="n">
        <v>-10</v>
      </c>
      <c r="H33" s="9"/>
      <c r="I33" s="10" t="str">
        <f aca="false">IF(H33="","",H33-G33)</f>
        <v/>
      </c>
    </row>
    <row r="34" customFormat="false" ht="15" hidden="false" customHeight="false" outlineLevel="0" collapsed="false">
      <c r="A34" s="7" t="n">
        <v>5763</v>
      </c>
      <c r="B34" s="7" t="s">
        <v>61</v>
      </c>
      <c r="C34" s="7" t="s">
        <v>144</v>
      </c>
      <c r="D34" s="7" t="s">
        <v>70</v>
      </c>
      <c r="E34" s="7" t="s">
        <v>643</v>
      </c>
      <c r="F34" s="7" t="s">
        <v>659</v>
      </c>
      <c r="G34" s="8" t="n">
        <v>-200</v>
      </c>
      <c r="H34" s="9"/>
      <c r="I34" s="10" t="str">
        <f aca="false">IF(H34="","",H34-G34)</f>
        <v/>
      </c>
    </row>
    <row r="35" customFormat="false" ht="15" hidden="false" customHeight="false" outlineLevel="0" collapsed="false">
      <c r="A35" s="7" t="n">
        <v>5763</v>
      </c>
      <c r="B35" s="7" t="s">
        <v>61</v>
      </c>
      <c r="C35" s="7" t="s">
        <v>144</v>
      </c>
      <c r="D35" s="7" t="s">
        <v>70</v>
      </c>
      <c r="E35" s="7" t="s">
        <v>649</v>
      </c>
      <c r="F35" s="7" t="s">
        <v>650</v>
      </c>
      <c r="G35" s="8" t="n">
        <v>15.25</v>
      </c>
      <c r="H35" s="9"/>
      <c r="I35" s="10" t="str">
        <f aca="false">IF(H35="","",H35-G35)</f>
        <v/>
      </c>
    </row>
    <row r="36" customFormat="false" ht="15" hidden="false" customHeight="false" outlineLevel="0" collapsed="false">
      <c r="A36" s="7" t="n">
        <v>5764</v>
      </c>
      <c r="B36" s="7" t="s">
        <v>61</v>
      </c>
      <c r="C36" s="7" t="s">
        <v>146</v>
      </c>
      <c r="D36" s="7" t="s">
        <v>72</v>
      </c>
      <c r="E36" s="7" t="s">
        <v>640</v>
      </c>
      <c r="F36" s="7" t="s">
        <v>642</v>
      </c>
      <c r="G36" s="8" t="n">
        <v>25</v>
      </c>
      <c r="H36" s="9"/>
      <c r="I36" s="10" t="str">
        <f aca="false">IF(H36="","",H36-G36)</f>
        <v/>
      </c>
    </row>
    <row r="37" customFormat="false" ht="15" hidden="false" customHeight="false" outlineLevel="0" collapsed="false">
      <c r="A37" s="7" t="n">
        <v>5764</v>
      </c>
      <c r="B37" s="7" t="s">
        <v>61</v>
      </c>
      <c r="C37" s="7" t="s">
        <v>146</v>
      </c>
      <c r="D37" s="7" t="s">
        <v>72</v>
      </c>
      <c r="E37" s="7" t="s">
        <v>640</v>
      </c>
      <c r="F37" s="7" t="s">
        <v>641</v>
      </c>
      <c r="G37" s="8" t="n">
        <v>25</v>
      </c>
      <c r="H37" s="9"/>
      <c r="I37" s="10" t="str">
        <f aca="false">IF(H37="","",H37-G37)</f>
        <v/>
      </c>
    </row>
    <row r="38" customFormat="false" ht="15" hidden="false" customHeight="false" outlineLevel="0" collapsed="false">
      <c r="A38" s="7" t="n">
        <v>5764</v>
      </c>
      <c r="B38" s="7" t="s">
        <v>61</v>
      </c>
      <c r="C38" s="7" t="s">
        <v>147</v>
      </c>
      <c r="D38" s="7" t="s">
        <v>72</v>
      </c>
      <c r="E38" s="7" t="s">
        <v>640</v>
      </c>
      <c r="F38" s="7" t="s">
        <v>642</v>
      </c>
      <c r="G38" s="8" t="n">
        <v>25</v>
      </c>
      <c r="H38" s="9"/>
      <c r="I38" s="10" t="str">
        <f aca="false">IF(H38="","",H38-G38)</f>
        <v/>
      </c>
    </row>
    <row r="39" customFormat="false" ht="15" hidden="false" customHeight="false" outlineLevel="0" collapsed="false">
      <c r="A39" s="7" t="n">
        <v>5764</v>
      </c>
      <c r="B39" s="7" t="s">
        <v>61</v>
      </c>
      <c r="C39" s="7" t="s">
        <v>147</v>
      </c>
      <c r="D39" s="7" t="s">
        <v>72</v>
      </c>
      <c r="E39" s="7" t="s">
        <v>640</v>
      </c>
      <c r="F39" s="7" t="s">
        <v>641</v>
      </c>
      <c r="G39" s="8" t="n">
        <v>25</v>
      </c>
      <c r="H39" s="9"/>
      <c r="I39" s="10" t="str">
        <f aca="false">IF(H39="","",H39-G39)</f>
        <v/>
      </c>
    </row>
    <row r="40" customFormat="false" ht="15" hidden="false" customHeight="false" outlineLevel="0" collapsed="false">
      <c r="A40" s="7" t="n">
        <v>5764</v>
      </c>
      <c r="B40" s="7" t="s">
        <v>61</v>
      </c>
      <c r="C40" s="7" t="s">
        <v>147</v>
      </c>
      <c r="D40" s="7" t="s">
        <v>72</v>
      </c>
      <c r="E40" s="7" t="s">
        <v>643</v>
      </c>
      <c r="F40" s="7" t="s">
        <v>658</v>
      </c>
      <c r="G40" s="8" t="n">
        <v>-10</v>
      </c>
      <c r="H40" s="9"/>
      <c r="I40" s="10" t="str">
        <f aca="false">IF(H40="","",H40-G40)</f>
        <v/>
      </c>
    </row>
    <row r="41" customFormat="false" ht="15" hidden="false" customHeight="false" outlineLevel="0" collapsed="false">
      <c r="A41" s="7" t="n">
        <v>5765</v>
      </c>
      <c r="B41" s="7" t="s">
        <v>61</v>
      </c>
      <c r="C41" s="7" t="s">
        <v>150</v>
      </c>
      <c r="D41" s="7" t="s">
        <v>62</v>
      </c>
      <c r="E41" s="7" t="s">
        <v>640</v>
      </c>
      <c r="F41" s="7" t="s">
        <v>642</v>
      </c>
      <c r="G41" s="8" t="n">
        <v>25</v>
      </c>
      <c r="H41" s="9"/>
      <c r="I41" s="10" t="str">
        <f aca="false">IF(H41="","",H41-G41)</f>
        <v/>
      </c>
    </row>
    <row r="42" customFormat="false" ht="15" hidden="false" customHeight="false" outlineLevel="0" collapsed="false">
      <c r="A42" s="7" t="n">
        <v>5765</v>
      </c>
      <c r="B42" s="7" t="s">
        <v>61</v>
      </c>
      <c r="C42" s="7" t="s">
        <v>150</v>
      </c>
      <c r="D42" s="7" t="s">
        <v>62</v>
      </c>
      <c r="E42" s="7" t="s">
        <v>640</v>
      </c>
      <c r="F42" s="7" t="s">
        <v>641</v>
      </c>
      <c r="G42" s="8" t="n">
        <v>25</v>
      </c>
      <c r="H42" s="9"/>
      <c r="I42" s="10" t="str">
        <f aca="false">IF(H42="","",H42-G42)</f>
        <v/>
      </c>
    </row>
    <row r="43" customFormat="false" ht="15" hidden="false" customHeight="false" outlineLevel="0" collapsed="false">
      <c r="A43" s="7" t="n">
        <v>5765</v>
      </c>
      <c r="B43" s="7" t="s">
        <v>61</v>
      </c>
      <c r="C43" s="7" t="s">
        <v>151</v>
      </c>
      <c r="D43" s="7" t="s">
        <v>62</v>
      </c>
      <c r="E43" s="7" t="s">
        <v>640</v>
      </c>
      <c r="F43" s="7" t="s">
        <v>642</v>
      </c>
      <c r="G43" s="8" t="n">
        <v>25</v>
      </c>
      <c r="H43" s="9"/>
      <c r="I43" s="10" t="str">
        <f aca="false">IF(H43="","",H43-G43)</f>
        <v/>
      </c>
    </row>
    <row r="44" customFormat="false" ht="15" hidden="false" customHeight="false" outlineLevel="0" collapsed="false">
      <c r="A44" s="7" t="n">
        <v>5765</v>
      </c>
      <c r="B44" s="7" t="s">
        <v>61</v>
      </c>
      <c r="C44" s="7" t="s">
        <v>151</v>
      </c>
      <c r="D44" s="7" t="s">
        <v>62</v>
      </c>
      <c r="E44" s="7" t="s">
        <v>640</v>
      </c>
      <c r="F44" s="7" t="s">
        <v>641</v>
      </c>
      <c r="G44" s="8" t="n">
        <v>25</v>
      </c>
      <c r="H44" s="9"/>
      <c r="I44" s="10" t="str">
        <f aca="false">IF(H44="","",H44-G44)</f>
        <v/>
      </c>
    </row>
    <row r="45" customFormat="false" ht="15" hidden="false" customHeight="false" outlineLevel="0" collapsed="false">
      <c r="A45" s="7" t="n">
        <v>5766</v>
      </c>
      <c r="B45" s="7" t="s">
        <v>75</v>
      </c>
      <c r="C45" s="7" t="s">
        <v>152</v>
      </c>
      <c r="D45" s="7" t="s">
        <v>76</v>
      </c>
      <c r="E45" s="7" t="s">
        <v>649</v>
      </c>
      <c r="F45" s="7" t="s">
        <v>660</v>
      </c>
      <c r="G45" s="8" t="n">
        <v>20</v>
      </c>
      <c r="H45" s="9"/>
      <c r="I45" s="10" t="str">
        <f aca="false">IF(H45="","",H45-G45)</f>
        <v/>
      </c>
    </row>
    <row r="46" customFormat="false" ht="15" hidden="false" customHeight="false" outlineLevel="0" collapsed="false">
      <c r="A46" s="7" t="n">
        <v>5767</v>
      </c>
      <c r="B46" s="7" t="s">
        <v>61</v>
      </c>
      <c r="C46" s="7" t="s">
        <v>156</v>
      </c>
      <c r="D46" s="7" t="s">
        <v>78</v>
      </c>
      <c r="E46" s="7" t="s">
        <v>643</v>
      </c>
      <c r="F46" s="7" t="s">
        <v>661</v>
      </c>
      <c r="G46" s="8" t="n">
        <v>-25</v>
      </c>
      <c r="H46" s="9"/>
      <c r="I46" s="10" t="str">
        <f aca="false">IF(H46="","",H46-G46)</f>
        <v/>
      </c>
    </row>
    <row r="47" customFormat="false" ht="15" hidden="false" customHeight="false" outlineLevel="0" collapsed="false">
      <c r="A47" s="7" t="n">
        <v>5767</v>
      </c>
      <c r="B47" s="7" t="s">
        <v>61</v>
      </c>
      <c r="C47" s="7" t="s">
        <v>157</v>
      </c>
      <c r="D47" s="7" t="s">
        <v>78</v>
      </c>
      <c r="E47" s="7" t="s">
        <v>643</v>
      </c>
      <c r="F47" s="7" t="s">
        <v>661</v>
      </c>
      <c r="G47" s="8" t="n">
        <v>-25</v>
      </c>
      <c r="H47" s="9"/>
      <c r="I47" s="10" t="str">
        <f aca="false">IF(H47="","",H47-G47)</f>
        <v/>
      </c>
    </row>
    <row r="48" customFormat="false" ht="15" hidden="false" customHeight="false" outlineLevel="0" collapsed="false">
      <c r="A48" s="7" t="n">
        <v>5767</v>
      </c>
      <c r="B48" s="7" t="s">
        <v>61</v>
      </c>
      <c r="C48" s="7" t="s">
        <v>157</v>
      </c>
      <c r="D48" s="7" t="s">
        <v>78</v>
      </c>
      <c r="E48" s="7" t="s">
        <v>643</v>
      </c>
      <c r="F48" s="7" t="s">
        <v>662</v>
      </c>
      <c r="G48" s="8" t="n">
        <v>-10</v>
      </c>
      <c r="H48" s="9"/>
      <c r="I48" s="10" t="str">
        <f aca="false">IF(H48="","",H48-G48)</f>
        <v/>
      </c>
    </row>
    <row r="49" customFormat="false" ht="15" hidden="false" customHeight="false" outlineLevel="0" collapsed="false">
      <c r="A49" s="7" t="n">
        <v>5767</v>
      </c>
      <c r="B49" s="7" t="s">
        <v>61</v>
      </c>
      <c r="C49" s="7" t="s">
        <v>156</v>
      </c>
      <c r="D49" s="7" t="s">
        <v>78</v>
      </c>
      <c r="E49" s="7" t="s">
        <v>649</v>
      </c>
      <c r="F49" s="7" t="s">
        <v>650</v>
      </c>
      <c r="G49" s="8" t="n">
        <v>5.25</v>
      </c>
      <c r="H49" s="9"/>
      <c r="I49" s="10" t="str">
        <f aca="false">IF(H49="","",H49-G49)</f>
        <v/>
      </c>
    </row>
    <row r="50" customFormat="false" ht="15" hidden="false" customHeight="false" outlineLevel="0" collapsed="false">
      <c r="A50" s="7" t="n">
        <v>5767</v>
      </c>
      <c r="B50" s="7" t="s">
        <v>61</v>
      </c>
      <c r="C50" s="7" t="s">
        <v>156</v>
      </c>
      <c r="D50" s="7" t="s">
        <v>78</v>
      </c>
      <c r="E50" s="7" t="s">
        <v>649</v>
      </c>
      <c r="F50" s="7" t="s">
        <v>650</v>
      </c>
      <c r="G50" s="8" t="n">
        <v>15.25</v>
      </c>
      <c r="H50" s="9"/>
      <c r="I50" s="10" t="str">
        <f aca="false">IF(H50="","",H50-G50)</f>
        <v/>
      </c>
    </row>
    <row r="51" customFormat="false" ht="15" hidden="false" customHeight="false" outlineLevel="0" collapsed="false">
      <c r="A51" s="7" t="n">
        <v>5768</v>
      </c>
      <c r="B51" s="7" t="s">
        <v>61</v>
      </c>
      <c r="C51" s="7" t="s">
        <v>160</v>
      </c>
      <c r="D51" s="7" t="s">
        <v>80</v>
      </c>
      <c r="E51" s="7" t="s">
        <v>640</v>
      </c>
      <c r="F51" s="7" t="s">
        <v>663</v>
      </c>
      <c r="G51" s="8" t="n">
        <v>25</v>
      </c>
      <c r="H51" s="9"/>
      <c r="I51" s="10" t="str">
        <f aca="false">IF(H51="","",H51-G51)</f>
        <v/>
      </c>
    </row>
    <row r="52" customFormat="false" ht="15" hidden="false" customHeight="false" outlineLevel="0" collapsed="false">
      <c r="A52" s="7" t="n">
        <v>5768</v>
      </c>
      <c r="B52" s="7" t="s">
        <v>61</v>
      </c>
      <c r="C52" s="7" t="s">
        <v>160</v>
      </c>
      <c r="D52" s="7" t="s">
        <v>80</v>
      </c>
      <c r="E52" s="7" t="s">
        <v>643</v>
      </c>
      <c r="F52" s="7" t="s">
        <v>661</v>
      </c>
      <c r="G52" s="8" t="n">
        <v>-25</v>
      </c>
      <c r="H52" s="9"/>
      <c r="I52" s="10" t="str">
        <f aca="false">IF(H52="","",H52-G52)</f>
        <v/>
      </c>
    </row>
    <row r="53" customFormat="false" ht="15" hidden="false" customHeight="false" outlineLevel="0" collapsed="false">
      <c r="A53" s="7" t="n">
        <v>5768</v>
      </c>
      <c r="B53" s="7" t="s">
        <v>61</v>
      </c>
      <c r="C53" s="7" t="s">
        <v>162</v>
      </c>
      <c r="D53" s="7" t="s">
        <v>80</v>
      </c>
      <c r="E53" s="7" t="s">
        <v>643</v>
      </c>
      <c r="F53" s="7" t="s">
        <v>661</v>
      </c>
      <c r="G53" s="8" t="n">
        <v>-25</v>
      </c>
      <c r="H53" s="9"/>
      <c r="I53" s="10" t="str">
        <f aca="false">IF(H53="","",H53-G53)</f>
        <v/>
      </c>
    </row>
    <row r="54" customFormat="false" ht="15" hidden="false" customHeight="false" outlineLevel="0" collapsed="false">
      <c r="A54" s="7" t="n">
        <v>5768</v>
      </c>
      <c r="B54" s="7" t="s">
        <v>61</v>
      </c>
      <c r="C54" s="7" t="s">
        <v>162</v>
      </c>
      <c r="D54" s="7" t="s">
        <v>80</v>
      </c>
      <c r="E54" s="7" t="s">
        <v>643</v>
      </c>
      <c r="F54" s="7" t="s">
        <v>662</v>
      </c>
      <c r="G54" s="8" t="n">
        <v>-10</v>
      </c>
      <c r="H54" s="9"/>
      <c r="I54" s="10" t="str">
        <f aca="false">IF(H54="","",H54-G54)</f>
        <v/>
      </c>
    </row>
    <row r="55" customFormat="false" ht="15" hidden="false" customHeight="false" outlineLevel="0" collapsed="false">
      <c r="A55" s="7" t="n">
        <v>5769</v>
      </c>
      <c r="B55" s="7" t="s">
        <v>61</v>
      </c>
      <c r="C55" s="7" t="s">
        <v>163</v>
      </c>
      <c r="D55" s="7" t="s">
        <v>82</v>
      </c>
      <c r="E55" s="7" t="s">
        <v>643</v>
      </c>
      <c r="F55" s="7" t="s">
        <v>664</v>
      </c>
      <c r="G55" s="8" t="n">
        <v>-25</v>
      </c>
      <c r="H55" s="9"/>
      <c r="I55" s="10" t="str">
        <f aca="false">IF(H55="","",H55-G55)</f>
        <v/>
      </c>
    </row>
    <row r="56" customFormat="false" ht="15" hidden="false" customHeight="false" outlineLevel="0" collapsed="false">
      <c r="A56" s="7" t="n">
        <v>5769</v>
      </c>
      <c r="B56" s="7" t="s">
        <v>61</v>
      </c>
      <c r="C56" s="7" t="s">
        <v>166</v>
      </c>
      <c r="D56" s="7" t="s">
        <v>82</v>
      </c>
      <c r="E56" s="7" t="s">
        <v>643</v>
      </c>
      <c r="F56" s="7" t="s">
        <v>664</v>
      </c>
      <c r="G56" s="8" t="n">
        <v>-25</v>
      </c>
      <c r="H56" s="9"/>
      <c r="I56" s="10" t="str">
        <f aca="false">IF(H56="","",H56-G56)</f>
        <v/>
      </c>
    </row>
    <row r="57" customFormat="false" ht="15" hidden="false" customHeight="false" outlineLevel="0" collapsed="false">
      <c r="A57" s="7" t="n">
        <v>5769</v>
      </c>
      <c r="B57" s="7" t="s">
        <v>61</v>
      </c>
      <c r="C57" s="7" t="s">
        <v>166</v>
      </c>
      <c r="D57" s="7" t="s">
        <v>82</v>
      </c>
      <c r="E57" s="7" t="s">
        <v>643</v>
      </c>
      <c r="F57" s="7" t="s">
        <v>665</v>
      </c>
      <c r="G57" s="8" t="n">
        <v>-10</v>
      </c>
      <c r="H57" s="9"/>
      <c r="I57" s="10" t="str">
        <f aca="false">IF(H57="","",H57-G57)</f>
        <v/>
      </c>
    </row>
    <row r="58" customFormat="false" ht="15" hidden="false" customHeight="false" outlineLevel="0" collapsed="false">
      <c r="A58" s="7" t="n">
        <v>5770</v>
      </c>
      <c r="B58" s="7" t="s">
        <v>61</v>
      </c>
      <c r="C58" s="7" t="s">
        <v>168</v>
      </c>
      <c r="D58" s="7" t="s">
        <v>62</v>
      </c>
      <c r="E58" s="7" t="s">
        <v>640</v>
      </c>
      <c r="F58" s="7" t="s">
        <v>642</v>
      </c>
      <c r="G58" s="8" t="n">
        <v>25</v>
      </c>
      <c r="H58" s="9"/>
      <c r="I58" s="10" t="str">
        <f aca="false">IF(H58="","",H58-G58)</f>
        <v/>
      </c>
    </row>
    <row r="59" customFormat="false" ht="15" hidden="false" customHeight="false" outlineLevel="0" collapsed="false">
      <c r="A59" s="7" t="n">
        <v>5770</v>
      </c>
      <c r="B59" s="7" t="s">
        <v>61</v>
      </c>
      <c r="C59" s="7" t="s">
        <v>168</v>
      </c>
      <c r="D59" s="7" t="s">
        <v>62</v>
      </c>
      <c r="E59" s="7" t="s">
        <v>640</v>
      </c>
      <c r="F59" s="7" t="s">
        <v>641</v>
      </c>
      <c r="G59" s="8" t="n">
        <v>25</v>
      </c>
      <c r="H59" s="9"/>
      <c r="I59" s="10" t="str">
        <f aca="false">IF(H59="","",H59-G59)</f>
        <v/>
      </c>
    </row>
    <row r="60" customFormat="false" ht="15" hidden="false" customHeight="false" outlineLevel="0" collapsed="false">
      <c r="A60" s="7" t="n">
        <v>5770</v>
      </c>
      <c r="B60" s="7" t="s">
        <v>61</v>
      </c>
      <c r="C60" s="7" t="s">
        <v>170</v>
      </c>
      <c r="D60" s="7" t="s">
        <v>62</v>
      </c>
      <c r="E60" s="7" t="s">
        <v>640</v>
      </c>
      <c r="F60" s="7" t="s">
        <v>642</v>
      </c>
      <c r="G60" s="8" t="n">
        <v>25</v>
      </c>
      <c r="H60" s="9"/>
      <c r="I60" s="10" t="str">
        <f aca="false">IF(H60="","",H60-G60)</f>
        <v/>
      </c>
    </row>
    <row r="61" customFormat="false" ht="15" hidden="false" customHeight="false" outlineLevel="0" collapsed="false">
      <c r="A61" s="7" t="n">
        <v>5770</v>
      </c>
      <c r="B61" s="7" t="s">
        <v>61</v>
      </c>
      <c r="C61" s="7" t="s">
        <v>170</v>
      </c>
      <c r="D61" s="7" t="s">
        <v>62</v>
      </c>
      <c r="E61" s="7" t="s">
        <v>640</v>
      </c>
      <c r="F61" s="7" t="s">
        <v>641</v>
      </c>
      <c r="G61" s="8" t="n">
        <v>25</v>
      </c>
      <c r="H61" s="9"/>
      <c r="I61" s="10" t="str">
        <f aca="false">IF(H61="","",H61-G61)</f>
        <v/>
      </c>
    </row>
    <row r="62" customFormat="false" ht="15" hidden="false" customHeight="false" outlineLevel="0" collapsed="false">
      <c r="A62" s="7" t="n">
        <v>5770</v>
      </c>
      <c r="B62" s="7" t="s">
        <v>61</v>
      </c>
      <c r="C62" s="7" t="s">
        <v>170</v>
      </c>
      <c r="D62" s="7" t="s">
        <v>62</v>
      </c>
      <c r="E62" s="7" t="s">
        <v>643</v>
      </c>
      <c r="F62" s="7" t="s">
        <v>666</v>
      </c>
      <c r="G62" s="8" t="n">
        <v>-10</v>
      </c>
      <c r="H62" s="9"/>
      <c r="I62" s="10" t="str">
        <f aca="false">IF(H62="","",H62-G62)</f>
        <v/>
      </c>
    </row>
    <row r="63" customFormat="false" ht="15" hidden="false" customHeight="false" outlineLevel="0" collapsed="false">
      <c r="A63" s="7" t="n">
        <v>5771</v>
      </c>
      <c r="B63" s="7" t="s">
        <v>61</v>
      </c>
      <c r="C63" s="7" t="s">
        <v>172</v>
      </c>
      <c r="D63" s="7" t="s">
        <v>72</v>
      </c>
      <c r="E63" s="7" t="s">
        <v>640</v>
      </c>
      <c r="F63" s="7" t="s">
        <v>642</v>
      </c>
      <c r="G63" s="8" t="n">
        <v>25</v>
      </c>
      <c r="H63" s="9"/>
      <c r="I63" s="10" t="str">
        <f aca="false">IF(H63="","",H63-G63)</f>
        <v/>
      </c>
    </row>
    <row r="64" customFormat="false" ht="15" hidden="false" customHeight="false" outlineLevel="0" collapsed="false">
      <c r="A64" s="7" t="n">
        <v>5771</v>
      </c>
      <c r="B64" s="7" t="s">
        <v>61</v>
      </c>
      <c r="C64" s="7" t="s">
        <v>172</v>
      </c>
      <c r="D64" s="7" t="s">
        <v>72</v>
      </c>
      <c r="E64" s="7" t="s">
        <v>640</v>
      </c>
      <c r="F64" s="7" t="s">
        <v>641</v>
      </c>
      <c r="G64" s="8" t="n">
        <v>25</v>
      </c>
      <c r="H64" s="9"/>
      <c r="I64" s="10" t="str">
        <f aca="false">IF(H64="","",H64-G64)</f>
        <v/>
      </c>
    </row>
    <row r="65" customFormat="false" ht="15" hidden="false" customHeight="false" outlineLevel="0" collapsed="false">
      <c r="A65" s="7" t="n">
        <v>5771</v>
      </c>
      <c r="B65" s="7" t="s">
        <v>61</v>
      </c>
      <c r="C65" s="7" t="s">
        <v>173</v>
      </c>
      <c r="D65" s="7" t="s">
        <v>72</v>
      </c>
      <c r="E65" s="7" t="s">
        <v>643</v>
      </c>
      <c r="F65" s="7" t="s">
        <v>666</v>
      </c>
      <c r="G65" s="8" t="n">
        <v>-10</v>
      </c>
      <c r="H65" s="9"/>
      <c r="I65" s="10" t="str">
        <f aca="false">IF(H65="","",H65-G65)</f>
        <v/>
      </c>
    </row>
    <row r="66" customFormat="false" ht="15" hidden="false" customHeight="false" outlineLevel="0" collapsed="false">
      <c r="A66" s="7" t="n">
        <v>5772</v>
      </c>
      <c r="B66" s="7" t="s">
        <v>75</v>
      </c>
      <c r="C66" s="7" t="s">
        <v>175</v>
      </c>
      <c r="D66" s="7" t="s">
        <v>85</v>
      </c>
      <c r="E66" s="7" t="s">
        <v>640</v>
      </c>
      <c r="F66" s="7" t="s">
        <v>667</v>
      </c>
      <c r="G66" s="8" t="n">
        <v>50</v>
      </c>
      <c r="H66" s="9"/>
      <c r="I66" s="10" t="str">
        <f aca="false">IF(H66="","",H66-G66)</f>
        <v/>
      </c>
    </row>
    <row r="67" customFormat="false" ht="15" hidden="false" customHeight="false" outlineLevel="0" collapsed="false">
      <c r="A67" s="7" t="n">
        <v>5772</v>
      </c>
      <c r="B67" s="7" t="s">
        <v>75</v>
      </c>
      <c r="C67" s="7" t="s">
        <v>179</v>
      </c>
      <c r="D67" s="7" t="s">
        <v>85</v>
      </c>
      <c r="E67" s="7" t="s">
        <v>640</v>
      </c>
      <c r="F67" s="7" t="s">
        <v>668</v>
      </c>
      <c r="G67" s="8" t="n">
        <v>50</v>
      </c>
      <c r="H67" s="9"/>
      <c r="I67" s="10" t="str">
        <f aca="false">IF(H67="","",H67-G67)</f>
        <v/>
      </c>
    </row>
    <row r="68" customFormat="false" ht="15" hidden="false" customHeight="false" outlineLevel="0" collapsed="false">
      <c r="A68" s="7" t="n">
        <v>5772</v>
      </c>
      <c r="B68" s="7" t="s">
        <v>75</v>
      </c>
      <c r="C68" s="7" t="s">
        <v>175</v>
      </c>
      <c r="D68" s="7" t="s">
        <v>85</v>
      </c>
      <c r="E68" s="7" t="s">
        <v>643</v>
      </c>
      <c r="F68" s="7" t="s">
        <v>669</v>
      </c>
      <c r="G68" s="8" t="n">
        <v>-25</v>
      </c>
      <c r="H68" s="9"/>
      <c r="I68" s="10" t="str">
        <f aca="false">IF(H68="","",H68-G68)</f>
        <v/>
      </c>
    </row>
    <row r="69" customFormat="false" ht="15" hidden="false" customHeight="false" outlineLevel="0" collapsed="false">
      <c r="A69" s="7" t="n">
        <v>5772</v>
      </c>
      <c r="B69" s="7" t="s">
        <v>75</v>
      </c>
      <c r="C69" s="7" t="s">
        <v>175</v>
      </c>
      <c r="D69" s="7" t="s">
        <v>85</v>
      </c>
      <c r="E69" s="7" t="s">
        <v>643</v>
      </c>
      <c r="F69" s="7" t="s">
        <v>670</v>
      </c>
      <c r="G69" s="8" t="n">
        <v>-390</v>
      </c>
      <c r="H69" s="9"/>
      <c r="I69" s="10" t="str">
        <f aca="false">IF(H69="","",H69-G69)</f>
        <v/>
      </c>
    </row>
    <row r="70" customFormat="false" ht="15" hidden="false" customHeight="false" outlineLevel="0" collapsed="false">
      <c r="A70" s="7" t="n">
        <v>5772</v>
      </c>
      <c r="B70" s="7" t="s">
        <v>75</v>
      </c>
      <c r="C70" s="7" t="s">
        <v>177</v>
      </c>
      <c r="D70" s="7" t="s">
        <v>85</v>
      </c>
      <c r="E70" s="7" t="s">
        <v>643</v>
      </c>
      <c r="F70" s="7" t="s">
        <v>669</v>
      </c>
      <c r="G70" s="8" t="n">
        <v>-25</v>
      </c>
      <c r="H70" s="9"/>
      <c r="I70" s="10" t="str">
        <f aca="false">IF(H70="","",H70-G70)</f>
        <v/>
      </c>
    </row>
    <row r="71" customFormat="false" ht="15" hidden="false" customHeight="false" outlineLevel="0" collapsed="false">
      <c r="A71" s="7" t="n">
        <v>5772</v>
      </c>
      <c r="B71" s="7" t="s">
        <v>75</v>
      </c>
      <c r="C71" s="7" t="s">
        <v>179</v>
      </c>
      <c r="D71" s="7" t="s">
        <v>85</v>
      </c>
      <c r="E71" s="7" t="s">
        <v>643</v>
      </c>
      <c r="F71" s="7" t="s">
        <v>669</v>
      </c>
      <c r="G71" s="8" t="n">
        <v>-25</v>
      </c>
      <c r="H71" s="9"/>
      <c r="I71" s="10" t="str">
        <f aca="false">IF(H71="","",H71-G71)</f>
        <v/>
      </c>
    </row>
    <row r="72" customFormat="false" ht="15" hidden="false" customHeight="false" outlineLevel="0" collapsed="false">
      <c r="A72" s="7" t="n">
        <v>5772</v>
      </c>
      <c r="B72" s="7" t="s">
        <v>75</v>
      </c>
      <c r="C72" s="7" t="s">
        <v>182</v>
      </c>
      <c r="D72" s="7" t="s">
        <v>85</v>
      </c>
      <c r="E72" s="7" t="s">
        <v>643</v>
      </c>
      <c r="F72" s="7" t="s">
        <v>669</v>
      </c>
      <c r="G72" s="8" t="n">
        <v>-25</v>
      </c>
      <c r="H72" s="9"/>
      <c r="I72" s="10" t="str">
        <f aca="false">IF(H72="","",H72-G72)</f>
        <v/>
      </c>
    </row>
    <row r="73" customFormat="false" ht="15" hidden="false" customHeight="false" outlineLevel="0" collapsed="false">
      <c r="A73" s="7" t="n">
        <v>5772</v>
      </c>
      <c r="B73" s="7" t="s">
        <v>75</v>
      </c>
      <c r="C73" s="7" t="s">
        <v>182</v>
      </c>
      <c r="D73" s="7" t="s">
        <v>85</v>
      </c>
      <c r="E73" s="7" t="s">
        <v>643</v>
      </c>
      <c r="F73" s="7" t="s">
        <v>671</v>
      </c>
      <c r="G73" s="8" t="n">
        <v>-10</v>
      </c>
      <c r="H73" s="9"/>
      <c r="I73" s="10" t="str">
        <f aca="false">IF(H73="","",H73-G73)</f>
        <v/>
      </c>
    </row>
    <row r="74" customFormat="false" ht="15" hidden="false" customHeight="false" outlineLevel="0" collapsed="false">
      <c r="A74" s="7" t="n">
        <v>5772</v>
      </c>
      <c r="B74" s="7" t="s">
        <v>75</v>
      </c>
      <c r="C74" s="7" t="s">
        <v>182</v>
      </c>
      <c r="D74" s="7" t="s">
        <v>85</v>
      </c>
      <c r="E74" s="7" t="s">
        <v>649</v>
      </c>
      <c r="F74" s="7" t="s">
        <v>672</v>
      </c>
      <c r="G74" s="8" t="n">
        <v>15.25</v>
      </c>
      <c r="H74" s="9"/>
      <c r="I74" s="10" t="str">
        <f aca="false">IF(H74="","",H74-G74)</f>
        <v/>
      </c>
    </row>
    <row r="75" customFormat="false" ht="15" hidden="false" customHeight="false" outlineLevel="0" collapsed="false">
      <c r="A75" s="7" t="n">
        <v>5773</v>
      </c>
      <c r="B75" s="7" t="s">
        <v>61</v>
      </c>
      <c r="C75" s="7" t="s">
        <v>184</v>
      </c>
      <c r="D75" s="7" t="s">
        <v>87</v>
      </c>
      <c r="E75" s="7" t="s">
        <v>643</v>
      </c>
      <c r="F75" s="7" t="s">
        <v>669</v>
      </c>
      <c r="G75" s="8" t="n">
        <v>-25</v>
      </c>
      <c r="H75" s="9"/>
      <c r="I75" s="10" t="str">
        <f aca="false">IF(H75="","",H75-G75)</f>
        <v/>
      </c>
    </row>
    <row r="76" customFormat="false" ht="15" hidden="false" customHeight="false" outlineLevel="0" collapsed="false">
      <c r="A76" s="7" t="n">
        <v>5773</v>
      </c>
      <c r="B76" s="7" t="s">
        <v>61</v>
      </c>
      <c r="C76" s="7" t="s">
        <v>187</v>
      </c>
      <c r="D76" s="7" t="s">
        <v>87</v>
      </c>
      <c r="E76" s="7" t="s">
        <v>643</v>
      </c>
      <c r="F76" s="7" t="s">
        <v>669</v>
      </c>
      <c r="G76" s="8" t="n">
        <v>-25</v>
      </c>
      <c r="H76" s="9"/>
      <c r="I76" s="10" t="str">
        <f aca="false">IF(H76="","",H76-G76)</f>
        <v/>
      </c>
    </row>
    <row r="77" customFormat="false" ht="15" hidden="false" customHeight="false" outlineLevel="0" collapsed="false">
      <c r="A77" s="7" t="n">
        <v>5773</v>
      </c>
      <c r="B77" s="7" t="s">
        <v>61</v>
      </c>
      <c r="C77" s="7" t="s">
        <v>187</v>
      </c>
      <c r="D77" s="7" t="s">
        <v>87</v>
      </c>
      <c r="E77" s="7" t="s">
        <v>643</v>
      </c>
      <c r="F77" s="7" t="s">
        <v>671</v>
      </c>
      <c r="G77" s="8" t="n">
        <v>-10</v>
      </c>
      <c r="H77" s="9"/>
      <c r="I77" s="10" t="str">
        <f aca="false">IF(H77="","",H77-G77)</f>
        <v/>
      </c>
    </row>
    <row r="78" customFormat="false" ht="15" hidden="false" customHeight="false" outlineLevel="0" collapsed="false">
      <c r="A78" s="7" t="n">
        <v>5774</v>
      </c>
      <c r="B78" s="7" t="s">
        <v>61</v>
      </c>
      <c r="C78" s="7" t="s">
        <v>189</v>
      </c>
      <c r="D78" s="7" t="s">
        <v>78</v>
      </c>
      <c r="E78" s="7" t="s">
        <v>643</v>
      </c>
      <c r="F78" s="7" t="s">
        <v>673</v>
      </c>
      <c r="G78" s="8" t="n">
        <v>-25</v>
      </c>
      <c r="H78" s="9"/>
      <c r="I78" s="10" t="str">
        <f aca="false">IF(H78="","",H78-G78)</f>
        <v/>
      </c>
    </row>
    <row r="79" customFormat="false" ht="15" hidden="false" customHeight="false" outlineLevel="0" collapsed="false">
      <c r="A79" s="7" t="n">
        <v>5774</v>
      </c>
      <c r="B79" s="7" t="s">
        <v>61</v>
      </c>
      <c r="C79" s="7" t="s">
        <v>191</v>
      </c>
      <c r="D79" s="7" t="s">
        <v>78</v>
      </c>
      <c r="E79" s="7" t="s">
        <v>643</v>
      </c>
      <c r="F79" s="7" t="s">
        <v>673</v>
      </c>
      <c r="G79" s="8" t="n">
        <v>-25</v>
      </c>
      <c r="H79" s="9"/>
      <c r="I79" s="10" t="str">
        <f aca="false">IF(H79="","",H79-G79)</f>
        <v/>
      </c>
    </row>
    <row r="80" customFormat="false" ht="15" hidden="false" customHeight="false" outlineLevel="0" collapsed="false">
      <c r="A80" s="7" t="n">
        <v>5774</v>
      </c>
      <c r="B80" s="7" t="s">
        <v>61</v>
      </c>
      <c r="C80" s="7" t="s">
        <v>191</v>
      </c>
      <c r="D80" s="7" t="s">
        <v>78</v>
      </c>
      <c r="E80" s="7" t="s">
        <v>643</v>
      </c>
      <c r="F80" s="7" t="s">
        <v>674</v>
      </c>
      <c r="G80" s="8" t="n">
        <v>-10</v>
      </c>
      <c r="H80" s="9"/>
      <c r="I80" s="10" t="str">
        <f aca="false">IF(H80="","",H80-G80)</f>
        <v/>
      </c>
    </row>
    <row r="81" customFormat="false" ht="15" hidden="false" customHeight="false" outlineLevel="0" collapsed="false">
      <c r="A81" s="7" t="n">
        <v>5774</v>
      </c>
      <c r="B81" s="7" t="s">
        <v>61</v>
      </c>
      <c r="C81" s="7" t="s">
        <v>189</v>
      </c>
      <c r="D81" s="7" t="s">
        <v>78</v>
      </c>
      <c r="E81" s="7" t="s">
        <v>649</v>
      </c>
      <c r="F81" s="7" t="s">
        <v>675</v>
      </c>
      <c r="G81" s="8" t="n">
        <v>45.47</v>
      </c>
      <c r="H81" s="9"/>
      <c r="I81" s="10" t="str">
        <f aca="false">IF(H81="","",H81-G81)</f>
        <v/>
      </c>
    </row>
    <row r="82" customFormat="false" ht="15" hidden="false" customHeight="false" outlineLevel="0" collapsed="false">
      <c r="A82" s="7" t="n">
        <v>5774</v>
      </c>
      <c r="B82" s="7" t="s">
        <v>61</v>
      </c>
      <c r="C82" s="7" t="s">
        <v>191</v>
      </c>
      <c r="D82" s="7" t="s">
        <v>78</v>
      </c>
      <c r="E82" s="7" t="s">
        <v>649</v>
      </c>
      <c r="F82" s="7" t="s">
        <v>676</v>
      </c>
      <c r="G82" s="8" t="n">
        <v>70</v>
      </c>
      <c r="H82" s="9"/>
      <c r="I82" s="10" t="str">
        <f aca="false">IF(H82="","",H82-G82)</f>
        <v/>
      </c>
    </row>
    <row r="83" customFormat="false" ht="15" hidden="false" customHeight="false" outlineLevel="0" collapsed="false">
      <c r="A83" s="7" t="n">
        <v>5775</v>
      </c>
      <c r="B83" s="7" t="s">
        <v>61</v>
      </c>
      <c r="C83" s="7" t="s">
        <v>196</v>
      </c>
      <c r="D83" s="7" t="s">
        <v>89</v>
      </c>
      <c r="E83" s="7" t="s">
        <v>640</v>
      </c>
      <c r="F83" s="7" t="s">
        <v>677</v>
      </c>
      <c r="G83" s="8" t="n">
        <v>50</v>
      </c>
      <c r="H83" s="9"/>
      <c r="I83" s="10" t="str">
        <f aca="false">IF(H83="","",H83-G83)</f>
        <v/>
      </c>
    </row>
    <row r="84" customFormat="false" ht="15" hidden="false" customHeight="false" outlineLevel="0" collapsed="false">
      <c r="A84" s="7" t="n">
        <v>5775</v>
      </c>
      <c r="B84" s="7" t="s">
        <v>61</v>
      </c>
      <c r="C84" s="7" t="s">
        <v>199</v>
      </c>
      <c r="D84" s="7" t="s">
        <v>89</v>
      </c>
      <c r="E84" s="7" t="s">
        <v>640</v>
      </c>
      <c r="F84" s="7" t="s">
        <v>678</v>
      </c>
      <c r="G84" s="8" t="n">
        <v>50</v>
      </c>
      <c r="H84" s="9"/>
      <c r="I84" s="10" t="str">
        <f aca="false">IF(H84="","",H84-G84)</f>
        <v/>
      </c>
    </row>
    <row r="85" customFormat="false" ht="15" hidden="false" customHeight="false" outlineLevel="0" collapsed="false">
      <c r="A85" s="7" t="n">
        <v>5775</v>
      </c>
      <c r="B85" s="7" t="s">
        <v>61</v>
      </c>
      <c r="C85" s="7" t="s">
        <v>193</v>
      </c>
      <c r="D85" s="7" t="s">
        <v>89</v>
      </c>
      <c r="E85" s="7" t="s">
        <v>643</v>
      </c>
      <c r="F85" s="7" t="s">
        <v>673</v>
      </c>
      <c r="G85" s="8" t="n">
        <v>-25</v>
      </c>
      <c r="H85" s="9"/>
      <c r="I85" s="10" t="str">
        <f aca="false">IF(H85="","",H85-G85)</f>
        <v/>
      </c>
    </row>
    <row r="86" customFormat="false" ht="15" hidden="false" customHeight="false" outlineLevel="0" collapsed="false">
      <c r="A86" s="7" t="n">
        <v>5775</v>
      </c>
      <c r="B86" s="7" t="s">
        <v>61</v>
      </c>
      <c r="C86" s="7" t="s">
        <v>196</v>
      </c>
      <c r="D86" s="7" t="s">
        <v>89</v>
      </c>
      <c r="E86" s="7" t="s">
        <v>643</v>
      </c>
      <c r="F86" s="7" t="s">
        <v>673</v>
      </c>
      <c r="G86" s="8" t="n">
        <v>-25</v>
      </c>
      <c r="H86" s="9"/>
      <c r="I86" s="10" t="str">
        <f aca="false">IF(H86="","",H86-G86)</f>
        <v/>
      </c>
    </row>
    <row r="87" customFormat="false" ht="15" hidden="false" customHeight="false" outlineLevel="0" collapsed="false">
      <c r="A87" s="7" t="n">
        <v>5775</v>
      </c>
      <c r="B87" s="7" t="s">
        <v>61</v>
      </c>
      <c r="C87" s="7" t="s">
        <v>199</v>
      </c>
      <c r="D87" s="7" t="s">
        <v>89</v>
      </c>
      <c r="E87" s="7" t="s">
        <v>643</v>
      </c>
      <c r="F87" s="7" t="s">
        <v>673</v>
      </c>
      <c r="G87" s="8" t="n">
        <v>-25</v>
      </c>
      <c r="H87" s="9"/>
      <c r="I87" s="10" t="str">
        <f aca="false">IF(H87="","",H87-G87)</f>
        <v/>
      </c>
    </row>
    <row r="88" customFormat="false" ht="15" hidden="false" customHeight="false" outlineLevel="0" collapsed="false">
      <c r="A88" s="7" t="n">
        <v>5775</v>
      </c>
      <c r="B88" s="7" t="s">
        <v>61</v>
      </c>
      <c r="C88" s="7" t="s">
        <v>199</v>
      </c>
      <c r="D88" s="7" t="s">
        <v>89</v>
      </c>
      <c r="E88" s="7" t="s">
        <v>643</v>
      </c>
      <c r="F88" s="7" t="s">
        <v>674</v>
      </c>
      <c r="G88" s="8" t="n">
        <v>-10</v>
      </c>
      <c r="H88" s="9"/>
      <c r="I88" s="10" t="str">
        <f aca="false">IF(H88="","",H88-G88)</f>
        <v/>
      </c>
    </row>
    <row r="89" customFormat="false" ht="15" hidden="false" customHeight="false" outlineLevel="0" collapsed="false">
      <c r="A89" s="7" t="n">
        <v>5775</v>
      </c>
      <c r="B89" s="7" t="s">
        <v>61</v>
      </c>
      <c r="C89" s="7" t="s">
        <v>199</v>
      </c>
      <c r="D89" s="7" t="s">
        <v>89</v>
      </c>
      <c r="E89" s="7" t="s">
        <v>643</v>
      </c>
      <c r="F89" s="7" t="s">
        <v>679</v>
      </c>
      <c r="G89" s="8" t="n">
        <v>-148</v>
      </c>
      <c r="H89" s="9"/>
      <c r="I89" s="10" t="str">
        <f aca="false">IF(H89="","",H89-G89)</f>
        <v/>
      </c>
    </row>
    <row r="90" customFormat="false" ht="15" hidden="false" customHeight="false" outlineLevel="0" collapsed="false">
      <c r="A90" s="7" t="n">
        <v>5775</v>
      </c>
      <c r="B90" s="7" t="s">
        <v>61</v>
      </c>
      <c r="C90" s="7" t="s">
        <v>196</v>
      </c>
      <c r="D90" s="7" t="s">
        <v>89</v>
      </c>
      <c r="E90" s="7" t="s">
        <v>649</v>
      </c>
      <c r="F90" s="7" t="s">
        <v>650</v>
      </c>
      <c r="G90" s="8" t="n">
        <v>15.25</v>
      </c>
      <c r="H90" s="9"/>
      <c r="I90" s="10" t="str">
        <f aca="false">IF(H90="","",H90-G90)</f>
        <v/>
      </c>
    </row>
    <row r="91" customFormat="false" ht="15" hidden="false" customHeight="false" outlineLevel="0" collapsed="false">
      <c r="A91" s="7" t="n">
        <v>5776</v>
      </c>
      <c r="B91" s="7" t="s">
        <v>75</v>
      </c>
      <c r="C91" s="7" t="s">
        <v>201</v>
      </c>
      <c r="D91" s="7" t="s">
        <v>66</v>
      </c>
      <c r="E91" s="7" t="s">
        <v>640</v>
      </c>
      <c r="F91" s="7" t="s">
        <v>680</v>
      </c>
      <c r="G91" s="8" t="n">
        <v>100</v>
      </c>
      <c r="H91" s="9"/>
      <c r="I91" s="10" t="str">
        <f aca="false">IF(H91="","",H91-G91)</f>
        <v/>
      </c>
    </row>
    <row r="92" customFormat="false" ht="15" hidden="false" customHeight="false" outlineLevel="0" collapsed="false">
      <c r="A92" s="7" t="n">
        <v>5776</v>
      </c>
      <c r="B92" s="7" t="s">
        <v>75</v>
      </c>
      <c r="C92" s="7" t="s">
        <v>201</v>
      </c>
      <c r="D92" s="7" t="s">
        <v>66</v>
      </c>
      <c r="E92" s="7" t="s">
        <v>643</v>
      </c>
      <c r="F92" s="7" t="s">
        <v>673</v>
      </c>
      <c r="G92" s="8" t="n">
        <v>-25</v>
      </c>
      <c r="H92" s="9"/>
      <c r="I92" s="10" t="str">
        <f aca="false">IF(H92="","",H92-G92)</f>
        <v/>
      </c>
    </row>
    <row r="93" customFormat="false" ht="15" hidden="false" customHeight="false" outlineLevel="0" collapsed="false">
      <c r="A93" s="7" t="n">
        <v>5776</v>
      </c>
      <c r="B93" s="7" t="s">
        <v>75</v>
      </c>
      <c r="C93" s="7" t="s">
        <v>204</v>
      </c>
      <c r="D93" s="7" t="s">
        <v>66</v>
      </c>
      <c r="E93" s="7" t="s">
        <v>643</v>
      </c>
      <c r="F93" s="7" t="s">
        <v>673</v>
      </c>
      <c r="G93" s="8" t="n">
        <v>-25</v>
      </c>
      <c r="H93" s="9"/>
      <c r="I93" s="10" t="str">
        <f aca="false">IF(H93="","",H93-G93)</f>
        <v/>
      </c>
    </row>
    <row r="94" customFormat="false" ht="15" hidden="false" customHeight="false" outlineLevel="0" collapsed="false">
      <c r="A94" s="7" t="n">
        <v>5776</v>
      </c>
      <c r="B94" s="7" t="s">
        <v>75</v>
      </c>
      <c r="C94" s="7" t="s">
        <v>204</v>
      </c>
      <c r="D94" s="7" t="s">
        <v>66</v>
      </c>
      <c r="E94" s="7" t="s">
        <v>643</v>
      </c>
      <c r="F94" s="7" t="s">
        <v>674</v>
      </c>
      <c r="G94" s="8" t="n">
        <v>-10</v>
      </c>
      <c r="H94" s="9"/>
      <c r="I94" s="10" t="str">
        <f aca="false">IF(H94="","",H94-G94)</f>
        <v/>
      </c>
    </row>
    <row r="95" customFormat="false" ht="15" hidden="false" customHeight="false" outlineLevel="0" collapsed="false">
      <c r="A95" s="7" t="n">
        <v>5776</v>
      </c>
      <c r="B95" s="7" t="s">
        <v>75</v>
      </c>
      <c r="C95" s="7" t="s">
        <v>206</v>
      </c>
      <c r="D95" s="7" t="s">
        <v>66</v>
      </c>
      <c r="E95" s="7" t="s">
        <v>643</v>
      </c>
      <c r="F95" s="7" t="s">
        <v>673</v>
      </c>
      <c r="G95" s="8" t="n">
        <v>-25</v>
      </c>
      <c r="H95" s="9"/>
      <c r="I95" s="10" t="str">
        <f aca="false">IF(H95="","",H95-G95)</f>
        <v/>
      </c>
    </row>
    <row r="96" customFormat="false" ht="15" hidden="false" customHeight="false" outlineLevel="0" collapsed="false">
      <c r="A96" s="7" t="n">
        <v>5776</v>
      </c>
      <c r="B96" s="7" t="s">
        <v>75</v>
      </c>
      <c r="C96" s="7" t="s">
        <v>201</v>
      </c>
      <c r="D96" s="7" t="s">
        <v>66</v>
      </c>
      <c r="E96" s="7" t="s">
        <v>649</v>
      </c>
      <c r="F96" s="7" t="s">
        <v>650</v>
      </c>
      <c r="G96" s="8" t="n">
        <v>5.25</v>
      </c>
      <c r="H96" s="9"/>
      <c r="I96" s="10" t="str">
        <f aca="false">IF(H96="","",H96-G96)</f>
        <v/>
      </c>
    </row>
    <row r="97" customFormat="false" ht="15" hidden="false" customHeight="false" outlineLevel="0" collapsed="false">
      <c r="A97" s="7" t="n">
        <v>5776</v>
      </c>
      <c r="B97" s="7" t="s">
        <v>75</v>
      </c>
      <c r="C97" s="7" t="s">
        <v>201</v>
      </c>
      <c r="D97" s="7" t="s">
        <v>66</v>
      </c>
      <c r="E97" s="7" t="s">
        <v>649</v>
      </c>
      <c r="F97" s="7" t="s">
        <v>650</v>
      </c>
      <c r="G97" s="8" t="n">
        <v>15.25</v>
      </c>
      <c r="H97" s="9"/>
      <c r="I97" s="10" t="str">
        <f aca="false">IF(H97="","",H97-G97)</f>
        <v/>
      </c>
    </row>
    <row r="98" customFormat="false" ht="15" hidden="false" customHeight="false" outlineLevel="0" collapsed="false">
      <c r="A98" s="7" t="n">
        <v>5776</v>
      </c>
      <c r="B98" s="7" t="s">
        <v>75</v>
      </c>
      <c r="C98" s="7" t="s">
        <v>204</v>
      </c>
      <c r="D98" s="7" t="s">
        <v>66</v>
      </c>
      <c r="E98" s="7" t="s">
        <v>649</v>
      </c>
      <c r="F98" s="7" t="s">
        <v>650</v>
      </c>
      <c r="G98" s="8" t="n">
        <v>5.25</v>
      </c>
      <c r="H98" s="9"/>
      <c r="I98" s="10" t="str">
        <f aca="false">IF(H98="","",H98-G98)</f>
        <v/>
      </c>
    </row>
    <row r="99" customFormat="false" ht="15" hidden="false" customHeight="false" outlineLevel="0" collapsed="false">
      <c r="A99" s="7" t="n">
        <v>5776</v>
      </c>
      <c r="B99" s="7" t="s">
        <v>75</v>
      </c>
      <c r="C99" s="7" t="s">
        <v>204</v>
      </c>
      <c r="D99" s="7" t="s">
        <v>66</v>
      </c>
      <c r="E99" s="7" t="s">
        <v>649</v>
      </c>
      <c r="F99" s="7" t="s">
        <v>650</v>
      </c>
      <c r="G99" s="8" t="n">
        <v>15.25</v>
      </c>
      <c r="H99" s="9"/>
      <c r="I99" s="10" t="str">
        <f aca="false">IF(H99="","",H99-G99)</f>
        <v/>
      </c>
    </row>
    <row r="100" customFormat="false" ht="15" hidden="false" customHeight="false" outlineLevel="0" collapsed="false">
      <c r="A100" s="7" t="n">
        <v>5776</v>
      </c>
      <c r="B100" s="7" t="s">
        <v>75</v>
      </c>
      <c r="C100" s="7" t="s">
        <v>204</v>
      </c>
      <c r="D100" s="7" t="s">
        <v>66</v>
      </c>
      <c r="E100" s="7" t="s">
        <v>649</v>
      </c>
      <c r="F100" s="7" t="s">
        <v>681</v>
      </c>
      <c r="G100" s="8" t="n">
        <v>15.25</v>
      </c>
      <c r="H100" s="9"/>
      <c r="I100" s="10" t="str">
        <f aca="false">IF(H100="","",H100-G100)</f>
        <v/>
      </c>
    </row>
    <row r="101" customFormat="false" ht="15" hidden="false" customHeight="false" outlineLevel="0" collapsed="false">
      <c r="A101" s="7" t="n">
        <v>5776</v>
      </c>
      <c r="B101" s="7" t="s">
        <v>75</v>
      </c>
      <c r="C101" s="7" t="s">
        <v>204</v>
      </c>
      <c r="D101" s="7" t="s">
        <v>66</v>
      </c>
      <c r="E101" s="7" t="s">
        <v>649</v>
      </c>
      <c r="F101" s="7" t="s">
        <v>681</v>
      </c>
      <c r="G101" s="8" t="n">
        <v>5.25</v>
      </c>
      <c r="H101" s="9"/>
      <c r="I101" s="10" t="str">
        <f aca="false">IF(H101="","",H101-G101)</f>
        <v/>
      </c>
    </row>
    <row r="102" customFormat="false" ht="15" hidden="false" customHeight="false" outlineLevel="0" collapsed="false">
      <c r="A102" s="7" t="n">
        <v>5777</v>
      </c>
      <c r="B102" s="7" t="s">
        <v>61</v>
      </c>
      <c r="C102" s="7" t="s">
        <v>209</v>
      </c>
      <c r="D102" s="7" t="s">
        <v>72</v>
      </c>
      <c r="E102" s="7" t="s">
        <v>640</v>
      </c>
      <c r="F102" s="7" t="s">
        <v>642</v>
      </c>
      <c r="G102" s="8" t="n">
        <v>25</v>
      </c>
      <c r="H102" s="9"/>
      <c r="I102" s="10" t="str">
        <f aca="false">IF(H102="","",H102-G102)</f>
        <v/>
      </c>
    </row>
    <row r="103" customFormat="false" ht="15" hidden="false" customHeight="false" outlineLevel="0" collapsed="false">
      <c r="A103" s="7" t="n">
        <v>5777</v>
      </c>
      <c r="B103" s="7" t="s">
        <v>61</v>
      </c>
      <c r="C103" s="7" t="s">
        <v>209</v>
      </c>
      <c r="D103" s="7" t="s">
        <v>72</v>
      </c>
      <c r="E103" s="7" t="s">
        <v>640</v>
      </c>
      <c r="F103" s="7" t="s">
        <v>641</v>
      </c>
      <c r="G103" s="8" t="n">
        <v>25</v>
      </c>
      <c r="H103" s="9"/>
      <c r="I103" s="10" t="str">
        <f aca="false">IF(H103="","",H103-G103)</f>
        <v/>
      </c>
    </row>
    <row r="104" customFormat="false" ht="15" hidden="false" customHeight="false" outlineLevel="0" collapsed="false">
      <c r="A104" s="7" t="n">
        <v>5777</v>
      </c>
      <c r="B104" s="7" t="s">
        <v>61</v>
      </c>
      <c r="C104" s="7" t="s">
        <v>210</v>
      </c>
      <c r="D104" s="7" t="s">
        <v>72</v>
      </c>
      <c r="E104" s="7" t="s">
        <v>643</v>
      </c>
      <c r="F104" s="7" t="s">
        <v>682</v>
      </c>
      <c r="G104" s="8" t="n">
        <v>-10</v>
      </c>
      <c r="H104" s="9"/>
      <c r="I104" s="10" t="str">
        <f aca="false">IF(H104="","",H104-G104)</f>
        <v/>
      </c>
    </row>
    <row r="105" customFormat="false" ht="15" hidden="false" customHeight="false" outlineLevel="0" collapsed="false">
      <c r="A105" s="7" t="n">
        <v>5778</v>
      </c>
      <c r="B105" s="7" t="s">
        <v>61</v>
      </c>
      <c r="C105" s="7" t="s">
        <v>212</v>
      </c>
      <c r="D105" s="7" t="s">
        <v>80</v>
      </c>
      <c r="E105" s="7" t="s">
        <v>640</v>
      </c>
      <c r="F105" s="7" t="s">
        <v>683</v>
      </c>
      <c r="G105" s="8" t="n">
        <v>50</v>
      </c>
      <c r="H105" s="9"/>
      <c r="I105" s="10" t="str">
        <f aca="false">IF(H105="","",H105-G105)</f>
        <v/>
      </c>
    </row>
    <row r="106" customFormat="false" ht="15" hidden="false" customHeight="false" outlineLevel="0" collapsed="false">
      <c r="A106" s="7" t="n">
        <v>5778</v>
      </c>
      <c r="B106" s="7" t="s">
        <v>61</v>
      </c>
      <c r="C106" s="7" t="s">
        <v>212</v>
      </c>
      <c r="D106" s="7" t="s">
        <v>80</v>
      </c>
      <c r="E106" s="7" t="s">
        <v>643</v>
      </c>
      <c r="F106" s="7" t="s">
        <v>684</v>
      </c>
      <c r="G106" s="8" t="n">
        <v>-25</v>
      </c>
      <c r="H106" s="9"/>
      <c r="I106" s="10" t="str">
        <f aca="false">IF(H106="","",H106-G106)</f>
        <v/>
      </c>
    </row>
    <row r="107" customFormat="false" ht="15" hidden="false" customHeight="false" outlineLevel="0" collapsed="false">
      <c r="A107" s="7" t="n">
        <v>5778</v>
      </c>
      <c r="B107" s="7" t="s">
        <v>61</v>
      </c>
      <c r="C107" s="7" t="s">
        <v>212</v>
      </c>
      <c r="D107" s="7" t="s">
        <v>80</v>
      </c>
      <c r="E107" s="7" t="s">
        <v>643</v>
      </c>
      <c r="F107" s="7" t="s">
        <v>685</v>
      </c>
      <c r="G107" s="8" t="n">
        <v>-10</v>
      </c>
      <c r="H107" s="9"/>
      <c r="I107" s="10" t="str">
        <f aca="false">IF(H107="","",H107-G107)</f>
        <v/>
      </c>
    </row>
    <row r="108" customFormat="false" ht="15" hidden="false" customHeight="false" outlineLevel="0" collapsed="false">
      <c r="A108" s="7" t="n">
        <v>5778</v>
      </c>
      <c r="B108" s="7" t="s">
        <v>61</v>
      </c>
      <c r="C108" s="7" t="s">
        <v>212</v>
      </c>
      <c r="D108" s="7" t="s">
        <v>80</v>
      </c>
      <c r="E108" s="7" t="s">
        <v>643</v>
      </c>
      <c r="F108" s="7" t="s">
        <v>686</v>
      </c>
      <c r="G108" s="8" t="n">
        <v>-200</v>
      </c>
      <c r="H108" s="9"/>
      <c r="I108" s="10" t="str">
        <f aca="false">IF(H108="","",H108-G108)</f>
        <v/>
      </c>
    </row>
    <row r="109" customFormat="false" ht="15" hidden="false" customHeight="false" outlineLevel="0" collapsed="false">
      <c r="A109" s="7" t="n">
        <v>5778</v>
      </c>
      <c r="B109" s="7" t="s">
        <v>61</v>
      </c>
      <c r="C109" s="7" t="s">
        <v>214</v>
      </c>
      <c r="D109" s="7" t="s">
        <v>80</v>
      </c>
      <c r="E109" s="7" t="s">
        <v>643</v>
      </c>
      <c r="F109" s="7" t="s">
        <v>684</v>
      </c>
      <c r="G109" s="8" t="n">
        <v>-25</v>
      </c>
      <c r="H109" s="9"/>
      <c r="I109" s="10" t="str">
        <f aca="false">IF(H109="","",H109-G109)</f>
        <v/>
      </c>
    </row>
    <row r="110" customFormat="false" ht="15" hidden="false" customHeight="false" outlineLevel="0" collapsed="false">
      <c r="A110" s="7" t="n">
        <v>5778</v>
      </c>
      <c r="B110" s="7" t="s">
        <v>61</v>
      </c>
      <c r="C110" s="7" t="s">
        <v>214</v>
      </c>
      <c r="D110" s="7" t="s">
        <v>80</v>
      </c>
      <c r="E110" s="7" t="s">
        <v>649</v>
      </c>
      <c r="F110" s="7" t="s">
        <v>650</v>
      </c>
      <c r="G110" s="8" t="n">
        <v>15.25</v>
      </c>
      <c r="H110" s="9"/>
      <c r="I110" s="10" t="str">
        <f aca="false">IF(H110="","",H110-G110)</f>
        <v/>
      </c>
    </row>
    <row r="111" customFormat="false" ht="15" hidden="false" customHeight="false" outlineLevel="0" collapsed="false">
      <c r="A111" s="7" t="n">
        <v>5779</v>
      </c>
      <c r="B111" s="7" t="s">
        <v>61</v>
      </c>
      <c r="C111" s="7" t="s">
        <v>216</v>
      </c>
      <c r="D111" s="7" t="s">
        <v>91</v>
      </c>
      <c r="E111" s="7" t="s">
        <v>640</v>
      </c>
      <c r="F111" s="7" t="s">
        <v>687</v>
      </c>
      <c r="G111" s="8" t="n">
        <v>27</v>
      </c>
      <c r="H111" s="9"/>
      <c r="I111" s="10" t="str">
        <f aca="false">IF(H111="","",H111-G111)</f>
        <v/>
      </c>
    </row>
    <row r="112" customFormat="false" ht="15" hidden="false" customHeight="false" outlineLevel="0" collapsed="false">
      <c r="A112" s="7" t="n">
        <v>5779</v>
      </c>
      <c r="B112" s="7" t="s">
        <v>61</v>
      </c>
      <c r="C112" s="7" t="s">
        <v>216</v>
      </c>
      <c r="D112" s="7" t="s">
        <v>91</v>
      </c>
      <c r="E112" s="7" t="s">
        <v>643</v>
      </c>
      <c r="F112" s="7" t="s">
        <v>688</v>
      </c>
      <c r="G112" s="8" t="n">
        <v>-25</v>
      </c>
      <c r="H112" s="9"/>
      <c r="I112" s="10" t="str">
        <f aca="false">IF(H112="","",H112-G112)</f>
        <v/>
      </c>
    </row>
    <row r="113" customFormat="false" ht="15" hidden="false" customHeight="false" outlineLevel="0" collapsed="false">
      <c r="A113" s="7" t="n">
        <v>5779</v>
      </c>
      <c r="B113" s="7" t="s">
        <v>61</v>
      </c>
      <c r="C113" s="7" t="s">
        <v>216</v>
      </c>
      <c r="D113" s="7" t="s">
        <v>91</v>
      </c>
      <c r="E113" s="7" t="s">
        <v>643</v>
      </c>
      <c r="F113" s="7" t="s">
        <v>689</v>
      </c>
      <c r="G113" s="8" t="n">
        <v>-10</v>
      </c>
      <c r="H113" s="9"/>
      <c r="I113" s="10" t="str">
        <f aca="false">IF(H113="","",H113-G113)</f>
        <v/>
      </c>
    </row>
    <row r="114" customFormat="false" ht="15" hidden="false" customHeight="false" outlineLevel="0" collapsed="false">
      <c r="A114" s="7" t="n">
        <v>5779</v>
      </c>
      <c r="B114" s="7" t="s">
        <v>61</v>
      </c>
      <c r="C114" s="7" t="s">
        <v>219</v>
      </c>
      <c r="D114" s="7" t="s">
        <v>91</v>
      </c>
      <c r="E114" s="7" t="s">
        <v>643</v>
      </c>
      <c r="F114" s="7" t="s">
        <v>688</v>
      </c>
      <c r="G114" s="8" t="n">
        <v>-25</v>
      </c>
      <c r="H114" s="9"/>
      <c r="I114" s="10" t="str">
        <f aca="false">IF(H114="","",H114-G114)</f>
        <v/>
      </c>
    </row>
    <row r="115" customFormat="false" ht="15" hidden="false" customHeight="false" outlineLevel="0" collapsed="false">
      <c r="A115" s="7" t="n">
        <v>5781</v>
      </c>
      <c r="B115" s="7" t="s">
        <v>61</v>
      </c>
      <c r="C115" s="7" t="s">
        <v>226</v>
      </c>
      <c r="D115" s="7" t="s">
        <v>66</v>
      </c>
      <c r="E115" s="7" t="s">
        <v>643</v>
      </c>
      <c r="F115" s="7" t="s">
        <v>690</v>
      </c>
      <c r="G115" s="8" t="n">
        <v>-25</v>
      </c>
      <c r="H115" s="9"/>
      <c r="I115" s="10" t="str">
        <f aca="false">IF(H115="","",H115-G115)</f>
        <v/>
      </c>
    </row>
    <row r="116" customFormat="false" ht="15" hidden="false" customHeight="false" outlineLevel="0" collapsed="false">
      <c r="A116" s="7" t="n">
        <v>5781</v>
      </c>
      <c r="B116" s="7" t="s">
        <v>61</v>
      </c>
      <c r="C116" s="7" t="s">
        <v>228</v>
      </c>
      <c r="D116" s="7" t="s">
        <v>66</v>
      </c>
      <c r="E116" s="7" t="s">
        <v>643</v>
      </c>
      <c r="F116" s="7" t="s">
        <v>690</v>
      </c>
      <c r="G116" s="8" t="n">
        <v>-25</v>
      </c>
      <c r="H116" s="9"/>
      <c r="I116" s="10" t="str">
        <f aca="false">IF(H116="","",H116-G116)</f>
        <v/>
      </c>
    </row>
    <row r="117" customFormat="false" ht="15" hidden="false" customHeight="false" outlineLevel="0" collapsed="false">
      <c r="A117" s="7" t="n">
        <v>5781</v>
      </c>
      <c r="B117" s="7" t="s">
        <v>61</v>
      </c>
      <c r="C117" s="7" t="s">
        <v>228</v>
      </c>
      <c r="D117" s="7" t="s">
        <v>66</v>
      </c>
      <c r="E117" s="7" t="s">
        <v>643</v>
      </c>
      <c r="F117" s="7" t="s">
        <v>691</v>
      </c>
      <c r="G117" s="8" t="n">
        <v>-10</v>
      </c>
      <c r="H117" s="9"/>
      <c r="I117" s="10" t="str">
        <f aca="false">IF(H117="","",H117-G117)</f>
        <v/>
      </c>
    </row>
    <row r="118" customFormat="false" ht="15" hidden="false" customHeight="false" outlineLevel="0" collapsed="false">
      <c r="A118" s="7" t="n">
        <v>5782</v>
      </c>
      <c r="B118" s="7" t="s">
        <v>61</v>
      </c>
      <c r="C118" s="7" t="s">
        <v>230</v>
      </c>
      <c r="D118" s="7" t="s">
        <v>80</v>
      </c>
      <c r="E118" s="7" t="s">
        <v>640</v>
      </c>
      <c r="F118" s="7" t="s">
        <v>692</v>
      </c>
      <c r="G118" s="8" t="n">
        <v>25</v>
      </c>
      <c r="H118" s="9"/>
      <c r="I118" s="10" t="str">
        <f aca="false">IF(H118="","",H118-G118)</f>
        <v/>
      </c>
    </row>
    <row r="119" customFormat="false" ht="15" hidden="false" customHeight="false" outlineLevel="0" collapsed="false">
      <c r="A119" s="7" t="n">
        <v>5782</v>
      </c>
      <c r="B119" s="7" t="s">
        <v>61</v>
      </c>
      <c r="C119" s="7" t="s">
        <v>229</v>
      </c>
      <c r="D119" s="7" t="s">
        <v>80</v>
      </c>
      <c r="E119" s="7" t="s">
        <v>643</v>
      </c>
      <c r="F119" s="7" t="s">
        <v>693</v>
      </c>
      <c r="G119" s="8" t="n">
        <v>-25</v>
      </c>
      <c r="H119" s="9"/>
      <c r="I119" s="10" t="str">
        <f aca="false">IF(H119="","",H119-G119)</f>
        <v/>
      </c>
    </row>
    <row r="120" customFormat="false" ht="15" hidden="false" customHeight="false" outlineLevel="0" collapsed="false">
      <c r="A120" s="7" t="n">
        <v>5782</v>
      </c>
      <c r="B120" s="7" t="s">
        <v>61</v>
      </c>
      <c r="C120" s="7" t="s">
        <v>230</v>
      </c>
      <c r="D120" s="7" t="s">
        <v>80</v>
      </c>
      <c r="E120" s="7" t="s">
        <v>643</v>
      </c>
      <c r="F120" s="7" t="s">
        <v>693</v>
      </c>
      <c r="G120" s="8" t="n">
        <v>-25</v>
      </c>
      <c r="H120" s="9"/>
      <c r="I120" s="10" t="str">
        <f aca="false">IF(H120="","",H120-G120)</f>
        <v/>
      </c>
    </row>
    <row r="121" customFormat="false" ht="15" hidden="false" customHeight="false" outlineLevel="0" collapsed="false">
      <c r="A121" s="7" t="n">
        <v>5782</v>
      </c>
      <c r="B121" s="7" t="s">
        <v>61</v>
      </c>
      <c r="C121" s="7" t="s">
        <v>230</v>
      </c>
      <c r="D121" s="7" t="s">
        <v>80</v>
      </c>
      <c r="E121" s="7" t="s">
        <v>643</v>
      </c>
      <c r="F121" s="7" t="s">
        <v>694</v>
      </c>
      <c r="G121" s="8" t="n">
        <v>-10</v>
      </c>
      <c r="H121" s="9"/>
      <c r="I121" s="10" t="str">
        <f aca="false">IF(H121="","",H121-G121)</f>
        <v/>
      </c>
    </row>
    <row r="122" customFormat="false" ht="15" hidden="false" customHeight="false" outlineLevel="0" collapsed="false">
      <c r="A122" s="7" t="n">
        <v>5782</v>
      </c>
      <c r="B122" s="7" t="s">
        <v>61</v>
      </c>
      <c r="C122" s="7" t="s">
        <v>230</v>
      </c>
      <c r="D122" s="7" t="s">
        <v>80</v>
      </c>
      <c r="E122" s="7" t="s">
        <v>643</v>
      </c>
      <c r="F122" s="7" t="s">
        <v>695</v>
      </c>
      <c r="G122" s="8" t="n">
        <v>-15.25</v>
      </c>
      <c r="H122" s="9"/>
      <c r="I122" s="10" t="str">
        <f aca="false">IF(H122="","",H122-G122)</f>
        <v/>
      </c>
    </row>
    <row r="123" customFormat="false" ht="15" hidden="false" customHeight="false" outlineLevel="0" collapsed="false">
      <c r="A123" s="7" t="n">
        <v>5782</v>
      </c>
      <c r="B123" s="7" t="s">
        <v>61</v>
      </c>
      <c r="C123" s="7" t="s">
        <v>230</v>
      </c>
      <c r="D123" s="7" t="s">
        <v>80</v>
      </c>
      <c r="E123" s="7" t="s">
        <v>649</v>
      </c>
      <c r="F123" s="7" t="s">
        <v>696</v>
      </c>
      <c r="G123" s="8" t="n">
        <v>18</v>
      </c>
      <c r="H123" s="9"/>
      <c r="I123" s="10" t="str">
        <f aca="false">IF(H123="","",H123-G123)</f>
        <v/>
      </c>
    </row>
    <row r="124" customFormat="false" ht="15" hidden="false" customHeight="false" outlineLevel="0" collapsed="false">
      <c r="A124" s="7" t="n">
        <v>5783</v>
      </c>
      <c r="B124" s="7" t="s">
        <v>75</v>
      </c>
      <c r="C124" s="7" t="s">
        <v>233</v>
      </c>
      <c r="D124" s="7" t="s">
        <v>72</v>
      </c>
      <c r="E124" s="7" t="s">
        <v>640</v>
      </c>
      <c r="F124" s="7" t="s">
        <v>642</v>
      </c>
      <c r="G124" s="8" t="n">
        <v>25</v>
      </c>
      <c r="H124" s="9"/>
      <c r="I124" s="10" t="str">
        <f aca="false">IF(H124="","",H124-G124)</f>
        <v/>
      </c>
    </row>
    <row r="125" customFormat="false" ht="15" hidden="false" customHeight="false" outlineLevel="0" collapsed="false">
      <c r="A125" s="7" t="n">
        <v>5783</v>
      </c>
      <c r="B125" s="7" t="s">
        <v>75</v>
      </c>
      <c r="C125" s="7" t="s">
        <v>233</v>
      </c>
      <c r="D125" s="7" t="s">
        <v>72</v>
      </c>
      <c r="E125" s="7" t="s">
        <v>640</v>
      </c>
      <c r="F125" s="7" t="s">
        <v>641</v>
      </c>
      <c r="G125" s="8" t="n">
        <v>25</v>
      </c>
      <c r="H125" s="9"/>
      <c r="I125" s="10" t="str">
        <f aca="false">IF(H125="","",H125-G125)</f>
        <v/>
      </c>
    </row>
    <row r="126" customFormat="false" ht="15" hidden="false" customHeight="false" outlineLevel="0" collapsed="false">
      <c r="A126" s="7" t="n">
        <v>5783</v>
      </c>
      <c r="B126" s="7" t="s">
        <v>75</v>
      </c>
      <c r="C126" s="7" t="s">
        <v>234</v>
      </c>
      <c r="D126" s="7" t="s">
        <v>72</v>
      </c>
      <c r="E126" s="7" t="s">
        <v>640</v>
      </c>
      <c r="F126" s="7" t="s">
        <v>697</v>
      </c>
      <c r="G126" s="8" t="n">
        <v>25</v>
      </c>
      <c r="H126" s="9"/>
      <c r="I126" s="10" t="str">
        <f aca="false">IF(H126="","",H126-G126)</f>
        <v/>
      </c>
    </row>
    <row r="127" customFormat="false" ht="15" hidden="false" customHeight="false" outlineLevel="0" collapsed="false">
      <c r="A127" s="7" t="n">
        <v>5783</v>
      </c>
      <c r="B127" s="7" t="s">
        <v>75</v>
      </c>
      <c r="C127" s="7" t="s">
        <v>234</v>
      </c>
      <c r="D127" s="7" t="s">
        <v>72</v>
      </c>
      <c r="E127" s="7" t="s">
        <v>640</v>
      </c>
      <c r="F127" s="7" t="s">
        <v>698</v>
      </c>
      <c r="G127" s="8" t="n">
        <v>25</v>
      </c>
      <c r="H127" s="9"/>
      <c r="I127" s="10" t="str">
        <f aca="false">IF(H127="","",H127-G127)</f>
        <v/>
      </c>
    </row>
    <row r="128" customFormat="false" ht="15" hidden="false" customHeight="false" outlineLevel="0" collapsed="false">
      <c r="A128" s="7" t="n">
        <v>5783</v>
      </c>
      <c r="B128" s="7" t="s">
        <v>75</v>
      </c>
      <c r="C128" s="7" t="s">
        <v>234</v>
      </c>
      <c r="D128" s="7" t="s">
        <v>72</v>
      </c>
      <c r="E128" s="7" t="s">
        <v>640</v>
      </c>
      <c r="F128" s="7" t="s">
        <v>699</v>
      </c>
      <c r="G128" s="8" t="n">
        <v>25</v>
      </c>
      <c r="H128" s="9"/>
      <c r="I128" s="10" t="str">
        <f aca="false">IF(H128="","",H128-G128)</f>
        <v/>
      </c>
    </row>
    <row r="129" customFormat="false" ht="15" hidden="false" customHeight="false" outlineLevel="0" collapsed="false">
      <c r="A129" s="7" t="n">
        <v>5783</v>
      </c>
      <c r="B129" s="7" t="s">
        <v>75</v>
      </c>
      <c r="C129" s="7" t="s">
        <v>234</v>
      </c>
      <c r="D129" s="7" t="s">
        <v>72</v>
      </c>
      <c r="E129" s="7" t="s">
        <v>640</v>
      </c>
      <c r="F129" s="7" t="s">
        <v>700</v>
      </c>
      <c r="G129" s="8" t="n">
        <v>25</v>
      </c>
      <c r="H129" s="9"/>
      <c r="I129" s="10" t="str">
        <f aca="false">IF(H129="","",H129-G129)</f>
        <v/>
      </c>
    </row>
    <row r="130" customFormat="false" ht="15" hidden="false" customHeight="false" outlineLevel="0" collapsed="false">
      <c r="A130" s="7" t="n">
        <v>5783</v>
      </c>
      <c r="B130" s="7" t="s">
        <v>75</v>
      </c>
      <c r="C130" s="7" t="s">
        <v>234</v>
      </c>
      <c r="D130" s="7" t="s">
        <v>72</v>
      </c>
      <c r="E130" s="7" t="s">
        <v>640</v>
      </c>
      <c r="F130" s="7" t="s">
        <v>663</v>
      </c>
      <c r="G130" s="8" t="n">
        <v>25</v>
      </c>
      <c r="H130" s="9"/>
      <c r="I130" s="10" t="str">
        <f aca="false">IF(H130="","",H130-G130)</f>
        <v/>
      </c>
    </row>
    <row r="131" customFormat="false" ht="15" hidden="false" customHeight="false" outlineLevel="0" collapsed="false">
      <c r="A131" s="7" t="n">
        <v>5783</v>
      </c>
      <c r="B131" s="7" t="s">
        <v>75</v>
      </c>
      <c r="C131" s="7" t="s">
        <v>234</v>
      </c>
      <c r="D131" s="7" t="s">
        <v>72</v>
      </c>
      <c r="E131" s="7" t="s">
        <v>643</v>
      </c>
      <c r="F131" s="7" t="s">
        <v>701</v>
      </c>
      <c r="G131" s="8" t="n">
        <v>-10</v>
      </c>
      <c r="H131" s="9"/>
      <c r="I131" s="10" t="str">
        <f aca="false">IF(H131="","",H131-G131)</f>
        <v/>
      </c>
    </row>
    <row r="132" customFormat="false" ht="15" hidden="false" customHeight="false" outlineLevel="0" collapsed="false">
      <c r="A132" s="7" t="n">
        <v>5784</v>
      </c>
      <c r="B132" s="7" t="s">
        <v>75</v>
      </c>
      <c r="C132" s="7" t="s">
        <v>237</v>
      </c>
      <c r="D132" s="7" t="s">
        <v>78</v>
      </c>
      <c r="E132" s="7" t="s">
        <v>640</v>
      </c>
      <c r="F132" s="7" t="s">
        <v>663</v>
      </c>
      <c r="G132" s="8" t="n">
        <v>25</v>
      </c>
      <c r="H132" s="9"/>
      <c r="I132" s="10" t="str">
        <f aca="false">IF(H132="","",H132-G132)</f>
        <v/>
      </c>
    </row>
    <row r="133" customFormat="false" ht="15" hidden="false" customHeight="false" outlineLevel="0" collapsed="false">
      <c r="A133" s="7" t="n">
        <v>5784</v>
      </c>
      <c r="B133" s="7" t="s">
        <v>75</v>
      </c>
      <c r="C133" s="7" t="s">
        <v>236</v>
      </c>
      <c r="D133" s="7" t="s">
        <v>78</v>
      </c>
      <c r="E133" s="7" t="s">
        <v>643</v>
      </c>
      <c r="F133" s="7" t="s">
        <v>702</v>
      </c>
      <c r="G133" s="8" t="n">
        <v>-25</v>
      </c>
      <c r="H133" s="9"/>
      <c r="I133" s="10" t="str">
        <f aca="false">IF(H133="","",H133-G133)</f>
        <v/>
      </c>
    </row>
    <row r="134" customFormat="false" ht="15" hidden="false" customHeight="false" outlineLevel="0" collapsed="false">
      <c r="A134" s="7" t="n">
        <v>5784</v>
      </c>
      <c r="B134" s="7" t="s">
        <v>75</v>
      </c>
      <c r="C134" s="7" t="s">
        <v>237</v>
      </c>
      <c r="D134" s="7" t="s">
        <v>78</v>
      </c>
      <c r="E134" s="7" t="s">
        <v>643</v>
      </c>
      <c r="F134" s="7" t="s">
        <v>702</v>
      </c>
      <c r="G134" s="8" t="n">
        <v>-25</v>
      </c>
      <c r="H134" s="9"/>
      <c r="I134" s="10" t="str">
        <f aca="false">IF(H134="","",H134-G134)</f>
        <v/>
      </c>
    </row>
    <row r="135" customFormat="false" ht="15" hidden="false" customHeight="false" outlineLevel="0" collapsed="false">
      <c r="A135" s="7" t="n">
        <v>5784</v>
      </c>
      <c r="B135" s="7" t="s">
        <v>75</v>
      </c>
      <c r="C135" s="7" t="s">
        <v>239</v>
      </c>
      <c r="D135" s="7" t="s">
        <v>78</v>
      </c>
      <c r="E135" s="7" t="s">
        <v>643</v>
      </c>
      <c r="F135" s="7" t="s">
        <v>702</v>
      </c>
      <c r="G135" s="8" t="n">
        <v>-25</v>
      </c>
      <c r="H135" s="9"/>
      <c r="I135" s="10" t="str">
        <f aca="false">IF(H135="","",H135-G135)</f>
        <v/>
      </c>
    </row>
    <row r="136" customFormat="false" ht="15" hidden="false" customHeight="false" outlineLevel="0" collapsed="false">
      <c r="A136" s="7" t="n">
        <v>5784</v>
      </c>
      <c r="B136" s="7" t="s">
        <v>75</v>
      </c>
      <c r="C136" s="7" t="s">
        <v>239</v>
      </c>
      <c r="D136" s="7" t="s">
        <v>78</v>
      </c>
      <c r="E136" s="7" t="s">
        <v>643</v>
      </c>
      <c r="F136" s="7" t="s">
        <v>701</v>
      </c>
      <c r="G136" s="8" t="n">
        <v>-10</v>
      </c>
      <c r="H136" s="9"/>
      <c r="I136" s="10" t="str">
        <f aca="false">IF(H136="","",H136-G136)</f>
        <v/>
      </c>
    </row>
    <row r="137" customFormat="false" ht="15" hidden="false" customHeight="false" outlineLevel="0" collapsed="false">
      <c r="A137" s="7" t="n">
        <v>5784</v>
      </c>
      <c r="B137" s="7" t="s">
        <v>75</v>
      </c>
      <c r="C137" s="7" t="s">
        <v>236</v>
      </c>
      <c r="D137" s="7" t="s">
        <v>78</v>
      </c>
      <c r="E137" s="7" t="s">
        <v>649</v>
      </c>
      <c r="F137" s="7" t="s">
        <v>703</v>
      </c>
      <c r="G137" s="8" t="n">
        <v>55.21</v>
      </c>
      <c r="H137" s="9"/>
      <c r="I137" s="10" t="str">
        <f aca="false">IF(H137="","",H137-G137)</f>
        <v/>
      </c>
    </row>
    <row r="138" customFormat="false" ht="15" hidden="false" customHeight="false" outlineLevel="0" collapsed="false">
      <c r="A138" s="7" t="n">
        <v>5784</v>
      </c>
      <c r="B138" s="7" t="s">
        <v>75</v>
      </c>
      <c r="C138" s="7" t="s">
        <v>239</v>
      </c>
      <c r="D138" s="7" t="s">
        <v>78</v>
      </c>
      <c r="E138" s="7" t="s">
        <v>649</v>
      </c>
      <c r="F138" s="7" t="s">
        <v>655</v>
      </c>
      <c r="G138" s="8" t="n">
        <v>49.5</v>
      </c>
      <c r="H138" s="9"/>
      <c r="I138" s="10" t="str">
        <f aca="false">IF(H138="","",H138-G138)</f>
        <v/>
      </c>
    </row>
    <row r="139" customFormat="false" ht="15" hidden="false" customHeight="false" outlineLevel="0" collapsed="false">
      <c r="A139" s="7" t="n">
        <v>5784</v>
      </c>
      <c r="B139" s="7" t="s">
        <v>75</v>
      </c>
      <c r="C139" s="7" t="s">
        <v>239</v>
      </c>
      <c r="D139" s="7" t="s">
        <v>78</v>
      </c>
      <c r="E139" s="7" t="s">
        <v>649</v>
      </c>
      <c r="F139" s="7" t="s">
        <v>655</v>
      </c>
      <c r="G139" s="8" t="n">
        <v>44.63</v>
      </c>
      <c r="H139" s="9"/>
      <c r="I139" s="10" t="str">
        <f aca="false">IF(H139="","",H139-G139)</f>
        <v/>
      </c>
    </row>
    <row r="140" customFormat="false" ht="15" hidden="false" customHeight="false" outlineLevel="0" collapsed="false">
      <c r="A140" s="7" t="n">
        <v>5785</v>
      </c>
      <c r="B140" s="7" t="s">
        <v>61</v>
      </c>
      <c r="C140" s="7" t="s">
        <v>242</v>
      </c>
      <c r="D140" s="7" t="s">
        <v>94</v>
      </c>
      <c r="E140" s="7" t="s">
        <v>640</v>
      </c>
      <c r="F140" s="7" t="s">
        <v>663</v>
      </c>
      <c r="G140" s="8" t="n">
        <v>25</v>
      </c>
      <c r="H140" s="9"/>
      <c r="I140" s="10" t="str">
        <f aca="false">IF(H140="","",H140-G140)</f>
        <v/>
      </c>
    </row>
    <row r="141" customFormat="false" ht="15" hidden="false" customHeight="false" outlineLevel="0" collapsed="false">
      <c r="A141" s="7" t="n">
        <v>5785</v>
      </c>
      <c r="B141" s="7" t="s">
        <v>61</v>
      </c>
      <c r="C141" s="7" t="s">
        <v>244</v>
      </c>
      <c r="D141" s="7" t="s">
        <v>94</v>
      </c>
      <c r="E141" s="7" t="s">
        <v>640</v>
      </c>
      <c r="F141" s="7" t="s">
        <v>704</v>
      </c>
      <c r="G141" s="8" t="n">
        <v>75</v>
      </c>
      <c r="H141" s="9"/>
      <c r="I141" s="10" t="str">
        <f aca="false">IF(H141="","",H141-G141)</f>
        <v/>
      </c>
    </row>
    <row r="142" customFormat="false" ht="15" hidden="false" customHeight="false" outlineLevel="0" collapsed="false">
      <c r="A142" s="7" t="n">
        <v>5785</v>
      </c>
      <c r="B142" s="7" t="s">
        <v>61</v>
      </c>
      <c r="C142" s="7" t="s">
        <v>241</v>
      </c>
      <c r="D142" s="7" t="s">
        <v>94</v>
      </c>
      <c r="E142" s="7" t="s">
        <v>643</v>
      </c>
      <c r="F142" s="7" t="s">
        <v>705</v>
      </c>
      <c r="G142" s="8" t="n">
        <v>-25</v>
      </c>
      <c r="H142" s="9"/>
      <c r="I142" s="10" t="str">
        <f aca="false">IF(H142="","",H142-G142)</f>
        <v/>
      </c>
    </row>
    <row r="143" customFormat="false" ht="15" hidden="false" customHeight="false" outlineLevel="0" collapsed="false">
      <c r="A143" s="7" t="n">
        <v>5785</v>
      </c>
      <c r="B143" s="7" t="s">
        <v>61</v>
      </c>
      <c r="C143" s="7" t="s">
        <v>241</v>
      </c>
      <c r="D143" s="7" t="s">
        <v>94</v>
      </c>
      <c r="E143" s="7" t="s">
        <v>643</v>
      </c>
      <c r="F143" s="7" t="s">
        <v>706</v>
      </c>
      <c r="G143" s="8" t="n">
        <v>-301.99</v>
      </c>
      <c r="H143" s="9"/>
      <c r="I143" s="10" t="str">
        <f aca="false">IF(H143="","",H143-G143)</f>
        <v/>
      </c>
    </row>
    <row r="144" customFormat="false" ht="15" hidden="false" customHeight="false" outlineLevel="0" collapsed="false">
      <c r="A144" s="7" t="n">
        <v>5785</v>
      </c>
      <c r="B144" s="7" t="s">
        <v>61</v>
      </c>
      <c r="C144" s="7" t="s">
        <v>242</v>
      </c>
      <c r="D144" s="7" t="s">
        <v>94</v>
      </c>
      <c r="E144" s="7" t="s">
        <v>643</v>
      </c>
      <c r="F144" s="7" t="s">
        <v>705</v>
      </c>
      <c r="G144" s="8" t="n">
        <v>-25</v>
      </c>
      <c r="H144" s="9"/>
      <c r="I144" s="10" t="str">
        <f aca="false">IF(H144="","",H144-G144)</f>
        <v/>
      </c>
    </row>
    <row r="145" customFormat="false" ht="15" hidden="false" customHeight="false" outlineLevel="0" collapsed="false">
      <c r="A145" s="7" t="n">
        <v>5785</v>
      </c>
      <c r="B145" s="7" t="s">
        <v>61</v>
      </c>
      <c r="C145" s="7" t="s">
        <v>244</v>
      </c>
      <c r="D145" s="7" t="s">
        <v>94</v>
      </c>
      <c r="E145" s="7" t="s">
        <v>643</v>
      </c>
      <c r="F145" s="7" t="s">
        <v>705</v>
      </c>
      <c r="G145" s="8" t="n">
        <v>-25</v>
      </c>
      <c r="H145" s="9"/>
      <c r="I145" s="10" t="str">
        <f aca="false">IF(H145="","",H145-G145)</f>
        <v/>
      </c>
    </row>
    <row r="146" customFormat="false" ht="15" hidden="false" customHeight="false" outlineLevel="0" collapsed="false">
      <c r="A146" s="7" t="n">
        <v>5785</v>
      </c>
      <c r="B146" s="7" t="s">
        <v>61</v>
      </c>
      <c r="C146" s="7" t="s">
        <v>244</v>
      </c>
      <c r="D146" s="7" t="s">
        <v>94</v>
      </c>
      <c r="E146" s="7" t="s">
        <v>643</v>
      </c>
      <c r="F146" s="7" t="s">
        <v>707</v>
      </c>
      <c r="G146" s="8" t="n">
        <v>-10</v>
      </c>
      <c r="H146" s="9"/>
      <c r="I146" s="10" t="str">
        <f aca="false">IF(H146="","",H146-G146)</f>
        <v/>
      </c>
    </row>
    <row r="147" customFormat="false" ht="15" hidden="false" customHeight="false" outlineLevel="0" collapsed="false">
      <c r="A147" s="7" t="n">
        <v>5785</v>
      </c>
      <c r="B147" s="7" t="s">
        <v>61</v>
      </c>
      <c r="C147" s="7" t="s">
        <v>242</v>
      </c>
      <c r="D147" s="7" t="s">
        <v>94</v>
      </c>
      <c r="E147" s="7" t="s">
        <v>649</v>
      </c>
      <c r="F147" s="7" t="s">
        <v>708</v>
      </c>
      <c r="G147" s="8" t="n">
        <v>10</v>
      </c>
      <c r="H147" s="9"/>
      <c r="I147" s="10" t="str">
        <f aca="false">IF(H147="","",H147-G147)</f>
        <v/>
      </c>
    </row>
    <row r="148" customFormat="false" ht="15" hidden="false" customHeight="false" outlineLevel="0" collapsed="false">
      <c r="A148" s="7" t="n">
        <v>5787</v>
      </c>
      <c r="B148" s="7" t="s">
        <v>61</v>
      </c>
      <c r="C148" s="7" t="s">
        <v>248</v>
      </c>
      <c r="D148" s="7" t="s">
        <v>89</v>
      </c>
      <c r="E148" s="7" t="s">
        <v>640</v>
      </c>
      <c r="F148" s="7" t="s">
        <v>709</v>
      </c>
      <c r="G148" s="8" t="n">
        <v>75</v>
      </c>
      <c r="H148" s="9"/>
      <c r="I148" s="10" t="str">
        <f aca="false">IF(H148="","",H148-G148)</f>
        <v/>
      </c>
    </row>
    <row r="149" customFormat="false" ht="15" hidden="false" customHeight="false" outlineLevel="0" collapsed="false">
      <c r="A149" s="7" t="n">
        <v>5787</v>
      </c>
      <c r="B149" s="7" t="s">
        <v>61</v>
      </c>
      <c r="C149" s="7" t="s">
        <v>248</v>
      </c>
      <c r="D149" s="7" t="s">
        <v>89</v>
      </c>
      <c r="E149" s="7" t="s">
        <v>643</v>
      </c>
      <c r="F149" s="7" t="s">
        <v>710</v>
      </c>
      <c r="G149" s="8" t="n">
        <v>-25</v>
      </c>
      <c r="H149" s="9"/>
      <c r="I149" s="10" t="str">
        <f aca="false">IF(H149="","",H149-G149)</f>
        <v/>
      </c>
    </row>
    <row r="150" customFormat="false" ht="15" hidden="false" customHeight="false" outlineLevel="0" collapsed="false">
      <c r="A150" s="7" t="n">
        <v>5787</v>
      </c>
      <c r="B150" s="7" t="s">
        <v>61</v>
      </c>
      <c r="C150" s="7" t="s">
        <v>248</v>
      </c>
      <c r="D150" s="7" t="s">
        <v>89</v>
      </c>
      <c r="E150" s="7" t="s">
        <v>643</v>
      </c>
      <c r="F150" s="7" t="s">
        <v>711</v>
      </c>
      <c r="G150" s="8" t="n">
        <v>-151.99</v>
      </c>
      <c r="H150" s="9"/>
      <c r="I150" s="10" t="str">
        <f aca="false">IF(H150="","",H150-G150)</f>
        <v/>
      </c>
    </row>
    <row r="151" customFormat="false" ht="15" hidden="false" customHeight="false" outlineLevel="0" collapsed="false">
      <c r="A151" s="7" t="n">
        <v>5787</v>
      </c>
      <c r="B151" s="7" t="s">
        <v>61</v>
      </c>
      <c r="C151" s="7" t="s">
        <v>251</v>
      </c>
      <c r="D151" s="7" t="s">
        <v>89</v>
      </c>
      <c r="E151" s="7" t="s">
        <v>643</v>
      </c>
      <c r="F151" s="7" t="s">
        <v>710</v>
      </c>
      <c r="G151" s="8" t="n">
        <v>-25</v>
      </c>
      <c r="H151" s="9"/>
      <c r="I151" s="10" t="str">
        <f aca="false">IF(H151="","",H151-G151)</f>
        <v/>
      </c>
    </row>
    <row r="152" customFormat="false" ht="15" hidden="false" customHeight="false" outlineLevel="0" collapsed="false">
      <c r="A152" s="7" t="n">
        <v>5787</v>
      </c>
      <c r="B152" s="7" t="s">
        <v>61</v>
      </c>
      <c r="C152" s="7" t="s">
        <v>251</v>
      </c>
      <c r="D152" s="7" t="s">
        <v>89</v>
      </c>
      <c r="E152" s="7" t="s">
        <v>643</v>
      </c>
      <c r="F152" s="7" t="s">
        <v>712</v>
      </c>
      <c r="G152" s="8" t="n">
        <v>-10</v>
      </c>
      <c r="H152" s="9"/>
      <c r="I152" s="10" t="str">
        <f aca="false">IF(H152="","",H152-G152)</f>
        <v/>
      </c>
    </row>
    <row r="153" customFormat="false" ht="15" hidden="false" customHeight="false" outlineLevel="0" collapsed="false">
      <c r="A153" s="7" t="n">
        <v>5787</v>
      </c>
      <c r="B153" s="7" t="s">
        <v>61</v>
      </c>
      <c r="C153" s="7" t="s">
        <v>248</v>
      </c>
      <c r="D153" s="7" t="s">
        <v>89</v>
      </c>
      <c r="E153" s="7" t="s">
        <v>649</v>
      </c>
      <c r="F153" s="7" t="s">
        <v>713</v>
      </c>
      <c r="G153" s="8" t="n">
        <v>22</v>
      </c>
      <c r="H153" s="9"/>
      <c r="I153" s="10" t="str">
        <f aca="false">IF(H153="","",H153-G153)</f>
        <v/>
      </c>
    </row>
    <row r="154" customFormat="false" ht="15" hidden="false" customHeight="false" outlineLevel="0" collapsed="false">
      <c r="A154" s="7" t="n">
        <v>5788</v>
      </c>
      <c r="B154" s="7" t="s">
        <v>61</v>
      </c>
      <c r="C154" s="7" t="s">
        <v>253</v>
      </c>
      <c r="D154" s="7" t="s">
        <v>82</v>
      </c>
      <c r="E154" s="7" t="s">
        <v>643</v>
      </c>
      <c r="F154" s="7" t="s">
        <v>714</v>
      </c>
      <c r="G154" s="8" t="n">
        <v>-25</v>
      </c>
      <c r="H154" s="9"/>
      <c r="I154" s="10" t="str">
        <f aca="false">IF(H154="","",H154-G154)</f>
        <v/>
      </c>
    </row>
    <row r="155" customFormat="false" ht="15" hidden="false" customHeight="false" outlineLevel="0" collapsed="false">
      <c r="A155" s="7" t="n">
        <v>5788</v>
      </c>
      <c r="B155" s="7" t="s">
        <v>61</v>
      </c>
      <c r="C155" s="7" t="s">
        <v>254</v>
      </c>
      <c r="D155" s="7" t="s">
        <v>82</v>
      </c>
      <c r="E155" s="7" t="s">
        <v>643</v>
      </c>
      <c r="F155" s="7" t="s">
        <v>714</v>
      </c>
      <c r="G155" s="8" t="n">
        <v>-25</v>
      </c>
      <c r="H155" s="9"/>
      <c r="I155" s="10" t="str">
        <f aca="false">IF(H155="","",H155-G155)</f>
        <v/>
      </c>
    </row>
    <row r="156" customFormat="false" ht="15" hidden="false" customHeight="false" outlineLevel="0" collapsed="false">
      <c r="A156" s="7" t="n">
        <v>5788</v>
      </c>
      <c r="B156" s="7" t="s">
        <v>61</v>
      </c>
      <c r="C156" s="7" t="s">
        <v>254</v>
      </c>
      <c r="D156" s="7" t="s">
        <v>82</v>
      </c>
      <c r="E156" s="7" t="s">
        <v>643</v>
      </c>
      <c r="F156" s="7" t="s">
        <v>715</v>
      </c>
      <c r="G156" s="8" t="n">
        <v>-165</v>
      </c>
      <c r="H156" s="9"/>
      <c r="I156" s="10" t="str">
        <f aca="false">IF(H156="","",H156-G156)</f>
        <v/>
      </c>
    </row>
    <row r="157" customFormat="false" ht="15" hidden="false" customHeight="false" outlineLevel="0" collapsed="false">
      <c r="A157" s="7" t="n">
        <v>5788</v>
      </c>
      <c r="B157" s="7" t="s">
        <v>61</v>
      </c>
      <c r="C157" s="7" t="s">
        <v>254</v>
      </c>
      <c r="D157" s="7" t="s">
        <v>82</v>
      </c>
      <c r="E157" s="7" t="s">
        <v>643</v>
      </c>
      <c r="F157" s="7" t="s">
        <v>716</v>
      </c>
      <c r="G157" s="8" t="n">
        <v>-201.99</v>
      </c>
      <c r="H157" s="9"/>
      <c r="I157" s="10" t="str">
        <f aca="false">IF(H157="","",H157-G157)</f>
        <v/>
      </c>
    </row>
    <row r="158" customFormat="false" ht="15" hidden="false" customHeight="false" outlineLevel="0" collapsed="false">
      <c r="A158" s="7" t="n">
        <v>5788</v>
      </c>
      <c r="B158" s="7" t="s">
        <v>61</v>
      </c>
      <c r="C158" s="7" t="s">
        <v>256</v>
      </c>
      <c r="D158" s="7" t="s">
        <v>82</v>
      </c>
      <c r="E158" s="7" t="s">
        <v>643</v>
      </c>
      <c r="F158" s="7" t="s">
        <v>714</v>
      </c>
      <c r="G158" s="8" t="n">
        <v>-25</v>
      </c>
      <c r="H158" s="9"/>
      <c r="I158" s="10" t="str">
        <f aca="false">IF(H158="","",H158-G158)</f>
        <v/>
      </c>
    </row>
    <row r="159" customFormat="false" ht="15" hidden="false" customHeight="false" outlineLevel="0" collapsed="false">
      <c r="A159" s="7" t="n">
        <v>5788</v>
      </c>
      <c r="B159" s="7" t="s">
        <v>61</v>
      </c>
      <c r="C159" s="7" t="s">
        <v>256</v>
      </c>
      <c r="D159" s="7" t="s">
        <v>82</v>
      </c>
      <c r="E159" s="7" t="s">
        <v>643</v>
      </c>
      <c r="F159" s="7" t="s">
        <v>717</v>
      </c>
      <c r="G159" s="8" t="n">
        <v>-10</v>
      </c>
      <c r="H159" s="9"/>
      <c r="I159" s="10" t="str">
        <f aca="false">IF(H159="","",H159-G159)</f>
        <v/>
      </c>
    </row>
    <row r="160" customFormat="false" ht="15" hidden="false" customHeight="false" outlineLevel="0" collapsed="false">
      <c r="A160" s="7" t="n">
        <v>5789</v>
      </c>
      <c r="B160" s="7" t="s">
        <v>61</v>
      </c>
      <c r="C160" s="7" t="s">
        <v>257</v>
      </c>
      <c r="D160" s="7" t="s">
        <v>72</v>
      </c>
      <c r="E160" s="7" t="s">
        <v>640</v>
      </c>
      <c r="F160" s="7" t="s">
        <v>642</v>
      </c>
      <c r="G160" s="8" t="n">
        <v>25</v>
      </c>
      <c r="H160" s="9"/>
      <c r="I160" s="10" t="str">
        <f aca="false">IF(H160="","",H160-G160)</f>
        <v/>
      </c>
    </row>
    <row r="161" customFormat="false" ht="15" hidden="false" customHeight="false" outlineLevel="0" collapsed="false">
      <c r="A161" s="7" t="n">
        <v>5789</v>
      </c>
      <c r="B161" s="7" t="s">
        <v>61</v>
      </c>
      <c r="C161" s="7" t="s">
        <v>257</v>
      </c>
      <c r="D161" s="7" t="s">
        <v>72</v>
      </c>
      <c r="E161" s="7" t="s">
        <v>640</v>
      </c>
      <c r="F161" s="7" t="s">
        <v>641</v>
      </c>
      <c r="G161" s="8" t="n">
        <v>25</v>
      </c>
      <c r="H161" s="9"/>
      <c r="I161" s="10" t="str">
        <f aca="false">IF(H161="","",H161-G161)</f>
        <v/>
      </c>
    </row>
    <row r="162" customFormat="false" ht="15" hidden="false" customHeight="false" outlineLevel="0" collapsed="false">
      <c r="A162" s="7" t="n">
        <v>5789</v>
      </c>
      <c r="B162" s="7" t="s">
        <v>61</v>
      </c>
      <c r="C162" s="7" t="s">
        <v>259</v>
      </c>
      <c r="D162" s="7" t="s">
        <v>72</v>
      </c>
      <c r="E162" s="7" t="s">
        <v>640</v>
      </c>
      <c r="F162" s="7" t="s">
        <v>642</v>
      </c>
      <c r="G162" s="8" t="n">
        <v>25</v>
      </c>
      <c r="H162" s="9"/>
      <c r="I162" s="10" t="str">
        <f aca="false">IF(H162="","",H162-G162)</f>
        <v/>
      </c>
    </row>
    <row r="163" customFormat="false" ht="15" hidden="false" customHeight="false" outlineLevel="0" collapsed="false">
      <c r="A163" s="7" t="n">
        <v>5789</v>
      </c>
      <c r="B163" s="7" t="s">
        <v>61</v>
      </c>
      <c r="C163" s="7" t="s">
        <v>259</v>
      </c>
      <c r="D163" s="7" t="s">
        <v>72</v>
      </c>
      <c r="E163" s="7" t="s">
        <v>640</v>
      </c>
      <c r="F163" s="7" t="s">
        <v>641</v>
      </c>
      <c r="G163" s="8" t="n">
        <v>25</v>
      </c>
      <c r="H163" s="9"/>
      <c r="I163" s="10" t="str">
        <f aca="false">IF(H163="","",H163-G163)</f>
        <v/>
      </c>
    </row>
    <row r="164" customFormat="false" ht="15" hidden="false" customHeight="false" outlineLevel="0" collapsed="false">
      <c r="A164" s="7" t="n">
        <v>5789</v>
      </c>
      <c r="B164" s="7" t="s">
        <v>61</v>
      </c>
      <c r="C164" s="7" t="s">
        <v>259</v>
      </c>
      <c r="D164" s="7" t="s">
        <v>72</v>
      </c>
      <c r="E164" s="7" t="s">
        <v>643</v>
      </c>
      <c r="F164" s="7" t="s">
        <v>718</v>
      </c>
      <c r="G164" s="8" t="n">
        <v>-10</v>
      </c>
      <c r="H164" s="9"/>
      <c r="I164" s="10" t="str">
        <f aca="false">IF(H164="","",H164-G164)</f>
        <v/>
      </c>
    </row>
    <row r="165" customFormat="false" ht="15" hidden="false" customHeight="false" outlineLevel="0" collapsed="false">
      <c r="A165" s="7" t="n">
        <v>5790</v>
      </c>
      <c r="B165" s="7" t="s">
        <v>61</v>
      </c>
      <c r="C165" s="7" t="s">
        <v>261</v>
      </c>
      <c r="D165" s="7" t="s">
        <v>66</v>
      </c>
      <c r="E165" s="7" t="s">
        <v>643</v>
      </c>
      <c r="F165" s="7" t="s">
        <v>719</v>
      </c>
      <c r="G165" s="8" t="n">
        <v>-25</v>
      </c>
      <c r="H165" s="9"/>
      <c r="I165" s="10" t="str">
        <f aca="false">IF(H165="","",H165-G165)</f>
        <v/>
      </c>
    </row>
    <row r="166" customFormat="false" ht="15" hidden="false" customHeight="false" outlineLevel="0" collapsed="false">
      <c r="A166" s="7" t="n">
        <v>5790</v>
      </c>
      <c r="B166" s="7" t="s">
        <v>61</v>
      </c>
      <c r="C166" s="7" t="s">
        <v>263</v>
      </c>
      <c r="D166" s="7" t="s">
        <v>66</v>
      </c>
      <c r="E166" s="7" t="s">
        <v>643</v>
      </c>
      <c r="F166" s="7" t="s">
        <v>719</v>
      </c>
      <c r="G166" s="8" t="n">
        <v>-25</v>
      </c>
      <c r="H166" s="9"/>
      <c r="I166" s="10" t="str">
        <f aca="false">IF(H166="","",H166-G166)</f>
        <v/>
      </c>
    </row>
    <row r="167" customFormat="false" ht="15" hidden="false" customHeight="false" outlineLevel="0" collapsed="false">
      <c r="A167" s="7" t="n">
        <v>5790</v>
      </c>
      <c r="B167" s="7" t="s">
        <v>61</v>
      </c>
      <c r="C167" s="7" t="s">
        <v>263</v>
      </c>
      <c r="D167" s="7" t="s">
        <v>66</v>
      </c>
      <c r="E167" s="7" t="s">
        <v>643</v>
      </c>
      <c r="F167" s="7" t="s">
        <v>720</v>
      </c>
      <c r="G167" s="8" t="n">
        <v>-10</v>
      </c>
      <c r="H167" s="9"/>
      <c r="I167" s="10" t="str">
        <f aca="false">IF(H167="","",H167-G167)</f>
        <v/>
      </c>
    </row>
    <row r="168" customFormat="false" ht="15" hidden="false" customHeight="false" outlineLevel="0" collapsed="false">
      <c r="A168" s="7" t="n">
        <v>5791</v>
      </c>
      <c r="B168" s="7" t="s">
        <v>61</v>
      </c>
      <c r="C168" s="7" t="s">
        <v>264</v>
      </c>
      <c r="D168" s="7" t="s">
        <v>80</v>
      </c>
      <c r="E168" s="7" t="s">
        <v>643</v>
      </c>
      <c r="F168" s="7" t="s">
        <v>719</v>
      </c>
      <c r="G168" s="8" t="n">
        <v>-25</v>
      </c>
      <c r="H168" s="9"/>
      <c r="I168" s="10" t="str">
        <f aca="false">IF(H168="","",H168-G168)</f>
        <v/>
      </c>
    </row>
    <row r="169" customFormat="false" ht="15" hidden="false" customHeight="false" outlineLevel="0" collapsed="false">
      <c r="A169" s="7" t="n">
        <v>5791</v>
      </c>
      <c r="B169" s="7" t="s">
        <v>61</v>
      </c>
      <c r="C169" s="7" t="s">
        <v>265</v>
      </c>
      <c r="D169" s="7" t="s">
        <v>80</v>
      </c>
      <c r="E169" s="7" t="s">
        <v>643</v>
      </c>
      <c r="F169" s="7" t="s">
        <v>719</v>
      </c>
      <c r="G169" s="8" t="n">
        <v>-25</v>
      </c>
      <c r="H169" s="9"/>
      <c r="I169" s="10" t="str">
        <f aca="false">IF(H169="","",H169-G169)</f>
        <v/>
      </c>
    </row>
    <row r="170" customFormat="false" ht="15" hidden="false" customHeight="false" outlineLevel="0" collapsed="false">
      <c r="A170" s="7" t="n">
        <v>5791</v>
      </c>
      <c r="B170" s="7" t="s">
        <v>61</v>
      </c>
      <c r="C170" s="7" t="s">
        <v>265</v>
      </c>
      <c r="D170" s="7" t="s">
        <v>80</v>
      </c>
      <c r="E170" s="7" t="s">
        <v>643</v>
      </c>
      <c r="F170" s="7" t="s">
        <v>720</v>
      </c>
      <c r="G170" s="8" t="n">
        <v>-10</v>
      </c>
      <c r="H170" s="9"/>
      <c r="I170" s="10" t="str">
        <f aca="false">IF(H170="","",H170-G170)</f>
        <v/>
      </c>
    </row>
    <row r="171" customFormat="false" ht="15" hidden="false" customHeight="false" outlineLevel="0" collapsed="false">
      <c r="A171" s="7" t="n">
        <v>5792</v>
      </c>
      <c r="B171" s="7" t="s">
        <v>61</v>
      </c>
      <c r="C171" s="7" t="s">
        <v>267</v>
      </c>
      <c r="D171" s="7" t="s">
        <v>94</v>
      </c>
      <c r="E171" s="7" t="s">
        <v>643</v>
      </c>
      <c r="F171" s="7" t="s">
        <v>719</v>
      </c>
      <c r="G171" s="8" t="n">
        <v>-25</v>
      </c>
      <c r="H171" s="9"/>
      <c r="I171" s="10" t="str">
        <f aca="false">IF(H171="","",H171-G171)</f>
        <v/>
      </c>
    </row>
    <row r="172" customFormat="false" ht="15" hidden="false" customHeight="false" outlineLevel="0" collapsed="false">
      <c r="A172" s="7" t="n">
        <v>5792</v>
      </c>
      <c r="B172" s="7" t="s">
        <v>61</v>
      </c>
      <c r="C172" s="7" t="s">
        <v>268</v>
      </c>
      <c r="D172" s="7" t="s">
        <v>94</v>
      </c>
      <c r="E172" s="7" t="s">
        <v>643</v>
      </c>
      <c r="F172" s="7" t="s">
        <v>719</v>
      </c>
      <c r="G172" s="8" t="n">
        <v>-25</v>
      </c>
      <c r="H172" s="9"/>
      <c r="I172" s="10" t="str">
        <f aca="false">IF(H172="","",H172-G172)</f>
        <v/>
      </c>
    </row>
    <row r="173" customFormat="false" ht="15" hidden="false" customHeight="false" outlineLevel="0" collapsed="false">
      <c r="A173" s="7" t="n">
        <v>5792</v>
      </c>
      <c r="B173" s="7" t="s">
        <v>61</v>
      </c>
      <c r="C173" s="7" t="s">
        <v>270</v>
      </c>
      <c r="D173" s="7" t="s">
        <v>94</v>
      </c>
      <c r="E173" s="7" t="s">
        <v>643</v>
      </c>
      <c r="F173" s="7" t="s">
        <v>721</v>
      </c>
      <c r="G173" s="8" t="n">
        <v>-25</v>
      </c>
      <c r="H173" s="9"/>
      <c r="I173" s="10" t="str">
        <f aca="false">IF(H173="","",H173-G173)</f>
        <v/>
      </c>
    </row>
    <row r="174" customFormat="false" ht="15" hidden="false" customHeight="false" outlineLevel="0" collapsed="false">
      <c r="A174" s="7" t="n">
        <v>5792</v>
      </c>
      <c r="B174" s="7" t="s">
        <v>61</v>
      </c>
      <c r="C174" s="7" t="s">
        <v>270</v>
      </c>
      <c r="D174" s="7" t="s">
        <v>94</v>
      </c>
      <c r="E174" s="7" t="s">
        <v>643</v>
      </c>
      <c r="F174" s="7" t="s">
        <v>722</v>
      </c>
      <c r="G174" s="8" t="n">
        <v>-10</v>
      </c>
      <c r="H174" s="9"/>
      <c r="I174" s="10" t="str">
        <f aca="false">IF(H174="","",H174-G174)</f>
        <v/>
      </c>
    </row>
    <row r="175" customFormat="false" ht="15" hidden="false" customHeight="false" outlineLevel="0" collapsed="false">
      <c r="A175" s="7" t="n">
        <v>5792</v>
      </c>
      <c r="B175" s="7" t="s">
        <v>61</v>
      </c>
      <c r="C175" s="7" t="s">
        <v>270</v>
      </c>
      <c r="D175" s="7" t="s">
        <v>94</v>
      </c>
      <c r="E175" s="7" t="s">
        <v>643</v>
      </c>
      <c r="F175" s="7" t="s">
        <v>723</v>
      </c>
      <c r="G175" s="8" t="n">
        <v>-267</v>
      </c>
      <c r="H175" s="9"/>
      <c r="I175" s="10" t="str">
        <f aca="false">IF(H175="","",H175-G175)</f>
        <v/>
      </c>
    </row>
    <row r="176" customFormat="false" ht="15" hidden="false" customHeight="false" outlineLevel="0" collapsed="false">
      <c r="A176" s="7" t="n">
        <v>5793</v>
      </c>
      <c r="B176" s="7" t="s">
        <v>61</v>
      </c>
      <c r="C176" s="7" t="s">
        <v>275</v>
      </c>
      <c r="D176" s="7" t="s">
        <v>62</v>
      </c>
      <c r="E176" s="7" t="s">
        <v>640</v>
      </c>
      <c r="F176" s="7" t="s">
        <v>724</v>
      </c>
      <c r="G176" s="8" t="n">
        <v>50</v>
      </c>
      <c r="H176" s="9"/>
      <c r="I176" s="10" t="str">
        <f aca="false">IF(H176="","",H176-G176)</f>
        <v/>
      </c>
    </row>
    <row r="177" customFormat="false" ht="15" hidden="false" customHeight="false" outlineLevel="0" collapsed="false">
      <c r="A177" s="7" t="n">
        <v>5793</v>
      </c>
      <c r="B177" s="7" t="s">
        <v>61</v>
      </c>
      <c r="C177" s="7" t="s">
        <v>275</v>
      </c>
      <c r="D177" s="7" t="s">
        <v>62</v>
      </c>
      <c r="E177" s="7" t="s">
        <v>643</v>
      </c>
      <c r="F177" s="7" t="s">
        <v>725</v>
      </c>
      <c r="G177" s="8" t="n">
        <v>-10</v>
      </c>
      <c r="H177" s="9"/>
      <c r="I177" s="10" t="str">
        <f aca="false">IF(H177="","",H177-G177)</f>
        <v/>
      </c>
    </row>
    <row r="178" customFormat="false" ht="15" hidden="false" customHeight="false" outlineLevel="0" collapsed="false">
      <c r="A178" s="7" t="n">
        <v>5793</v>
      </c>
      <c r="B178" s="7" t="s">
        <v>61</v>
      </c>
      <c r="C178" s="7" t="s">
        <v>272</v>
      </c>
      <c r="D178" s="7" t="s">
        <v>62</v>
      </c>
      <c r="E178" s="7" t="s">
        <v>649</v>
      </c>
      <c r="F178" s="7" t="s">
        <v>650</v>
      </c>
      <c r="G178" s="8" t="n">
        <v>15.25</v>
      </c>
      <c r="H178" s="9"/>
      <c r="I178" s="10" t="str">
        <f aca="false">IF(H178="","",H178-G178)</f>
        <v/>
      </c>
    </row>
    <row r="179" customFormat="false" ht="15" hidden="false" customHeight="false" outlineLevel="0" collapsed="false">
      <c r="A179" s="7" t="n">
        <v>5793</v>
      </c>
      <c r="B179" s="7" t="s">
        <v>61</v>
      </c>
      <c r="C179" s="7" t="s">
        <v>272</v>
      </c>
      <c r="D179" s="7" t="s">
        <v>62</v>
      </c>
      <c r="E179" s="7" t="s">
        <v>649</v>
      </c>
      <c r="F179" s="7" t="s">
        <v>726</v>
      </c>
      <c r="G179" s="8" t="n">
        <v>11.76</v>
      </c>
      <c r="H179" s="9"/>
      <c r="I179" s="10" t="str">
        <f aca="false">IF(H179="","",H179-G179)</f>
        <v/>
      </c>
    </row>
    <row r="180" customFormat="false" ht="15" hidden="false" customHeight="false" outlineLevel="0" collapsed="false">
      <c r="A180" s="7" t="n">
        <v>5793</v>
      </c>
      <c r="B180" s="7" t="s">
        <v>61</v>
      </c>
      <c r="C180" s="7" t="s">
        <v>275</v>
      </c>
      <c r="D180" s="7" t="s">
        <v>62</v>
      </c>
      <c r="E180" s="7" t="s">
        <v>649</v>
      </c>
      <c r="F180" s="7" t="s">
        <v>672</v>
      </c>
      <c r="G180" s="8" t="n">
        <v>15.25</v>
      </c>
      <c r="H180" s="9"/>
      <c r="I180" s="10" t="str">
        <f aca="false">IF(H180="","",H180-G180)</f>
        <v/>
      </c>
    </row>
    <row r="181" customFormat="false" ht="15" hidden="false" customHeight="false" outlineLevel="0" collapsed="false">
      <c r="A181" s="7" t="n">
        <v>5794</v>
      </c>
      <c r="B181" s="7" t="s">
        <v>61</v>
      </c>
      <c r="C181" s="7" t="s">
        <v>278</v>
      </c>
      <c r="D181" s="7" t="s">
        <v>78</v>
      </c>
      <c r="E181" s="7" t="s">
        <v>643</v>
      </c>
      <c r="F181" s="7" t="s">
        <v>727</v>
      </c>
      <c r="G181" s="8" t="n">
        <v>-25</v>
      </c>
      <c r="H181" s="9"/>
      <c r="I181" s="10" t="str">
        <f aca="false">IF(H181="","",H181-G181)</f>
        <v/>
      </c>
    </row>
    <row r="182" customFormat="false" ht="15" hidden="false" customHeight="false" outlineLevel="0" collapsed="false">
      <c r="A182" s="7" t="n">
        <v>5794</v>
      </c>
      <c r="B182" s="7" t="s">
        <v>61</v>
      </c>
      <c r="C182" s="7" t="s">
        <v>280</v>
      </c>
      <c r="D182" s="7" t="s">
        <v>78</v>
      </c>
      <c r="E182" s="7" t="s">
        <v>643</v>
      </c>
      <c r="F182" s="7" t="s">
        <v>727</v>
      </c>
      <c r="G182" s="8" t="n">
        <v>-25</v>
      </c>
      <c r="H182" s="9"/>
      <c r="I182" s="10" t="str">
        <f aca="false">IF(H182="","",H182-G182)</f>
        <v/>
      </c>
    </row>
    <row r="183" customFormat="false" ht="15" hidden="false" customHeight="false" outlineLevel="0" collapsed="false">
      <c r="A183" s="7" t="n">
        <v>5794</v>
      </c>
      <c r="B183" s="7" t="s">
        <v>61</v>
      </c>
      <c r="C183" s="7" t="s">
        <v>280</v>
      </c>
      <c r="D183" s="7" t="s">
        <v>78</v>
      </c>
      <c r="E183" s="7" t="s">
        <v>643</v>
      </c>
      <c r="F183" s="7" t="s">
        <v>728</v>
      </c>
      <c r="G183" s="8" t="n">
        <v>-10</v>
      </c>
      <c r="H183" s="9"/>
      <c r="I183" s="10" t="str">
        <f aca="false">IF(H183="","",H183-G183)</f>
        <v/>
      </c>
    </row>
    <row r="184" customFormat="false" ht="15" hidden="false" customHeight="false" outlineLevel="0" collapsed="false">
      <c r="A184" s="7" t="n">
        <v>5794</v>
      </c>
      <c r="B184" s="7" t="s">
        <v>61</v>
      </c>
      <c r="C184" s="7" t="s">
        <v>278</v>
      </c>
      <c r="D184" s="7" t="s">
        <v>78</v>
      </c>
      <c r="E184" s="7" t="s">
        <v>649</v>
      </c>
      <c r="F184" s="7" t="s">
        <v>660</v>
      </c>
      <c r="G184" s="8" t="n">
        <v>30.3</v>
      </c>
      <c r="H184" s="9"/>
      <c r="I184" s="10" t="str">
        <f aca="false">IF(H184="","",H184-G184)</f>
        <v/>
      </c>
    </row>
    <row r="185" customFormat="false" ht="15" hidden="false" customHeight="false" outlineLevel="0" collapsed="false">
      <c r="A185" s="7" t="n">
        <v>5794</v>
      </c>
      <c r="B185" s="7" t="s">
        <v>61</v>
      </c>
      <c r="C185" s="7" t="s">
        <v>278</v>
      </c>
      <c r="D185" s="7" t="s">
        <v>78</v>
      </c>
      <c r="E185" s="7" t="s">
        <v>649</v>
      </c>
      <c r="F185" s="7" t="s">
        <v>729</v>
      </c>
      <c r="G185" s="8" t="n">
        <v>22.14</v>
      </c>
      <c r="H185" s="9"/>
      <c r="I185" s="10" t="str">
        <f aca="false">IF(H185="","",H185-G185)</f>
        <v/>
      </c>
    </row>
    <row r="186" customFormat="false" ht="15" hidden="false" customHeight="false" outlineLevel="0" collapsed="false">
      <c r="A186" s="7" t="n">
        <v>5794</v>
      </c>
      <c r="B186" s="7" t="s">
        <v>61</v>
      </c>
      <c r="C186" s="7" t="s">
        <v>280</v>
      </c>
      <c r="D186" s="7" t="s">
        <v>78</v>
      </c>
      <c r="E186" s="7" t="s">
        <v>649</v>
      </c>
      <c r="F186" s="7" t="s">
        <v>730</v>
      </c>
      <c r="G186" s="8" t="n">
        <v>49.32</v>
      </c>
      <c r="H186" s="9"/>
      <c r="I186" s="10" t="str">
        <f aca="false">IF(H186="","",H186-G186)</f>
        <v/>
      </c>
    </row>
    <row r="187" customFormat="false" ht="15" hidden="false" customHeight="false" outlineLevel="0" collapsed="false">
      <c r="A187" s="7" t="n">
        <v>5795</v>
      </c>
      <c r="B187" s="7" t="s">
        <v>61</v>
      </c>
      <c r="C187" s="7" t="s">
        <v>281</v>
      </c>
      <c r="D187" s="7" t="s">
        <v>91</v>
      </c>
      <c r="E187" s="7" t="s">
        <v>643</v>
      </c>
      <c r="F187" s="7" t="s">
        <v>731</v>
      </c>
      <c r="G187" s="8" t="n">
        <v>-25</v>
      </c>
      <c r="H187" s="9"/>
      <c r="I187" s="10" t="str">
        <f aca="false">IF(H187="","",H187-G187)</f>
        <v/>
      </c>
    </row>
    <row r="188" customFormat="false" ht="15" hidden="false" customHeight="false" outlineLevel="0" collapsed="false">
      <c r="A188" s="7" t="n">
        <v>5795</v>
      </c>
      <c r="B188" s="7" t="s">
        <v>61</v>
      </c>
      <c r="C188" s="7" t="s">
        <v>282</v>
      </c>
      <c r="D188" s="7" t="s">
        <v>91</v>
      </c>
      <c r="E188" s="7" t="s">
        <v>643</v>
      </c>
      <c r="F188" s="7" t="s">
        <v>731</v>
      </c>
      <c r="G188" s="8" t="n">
        <v>-25</v>
      </c>
      <c r="H188" s="9"/>
      <c r="I188" s="10" t="str">
        <f aca="false">IF(H188="","",H188-G188)</f>
        <v/>
      </c>
    </row>
    <row r="189" customFormat="false" ht="15" hidden="false" customHeight="false" outlineLevel="0" collapsed="false">
      <c r="A189" s="7" t="n">
        <v>5795</v>
      </c>
      <c r="B189" s="7" t="s">
        <v>61</v>
      </c>
      <c r="C189" s="7" t="s">
        <v>282</v>
      </c>
      <c r="D189" s="7" t="s">
        <v>91</v>
      </c>
      <c r="E189" s="7" t="s">
        <v>643</v>
      </c>
      <c r="F189" s="7" t="s">
        <v>725</v>
      </c>
      <c r="G189" s="8" t="n">
        <v>-10</v>
      </c>
      <c r="H189" s="9"/>
      <c r="I189" s="10" t="str">
        <f aca="false">IF(H189="","",H189-G189)</f>
        <v/>
      </c>
    </row>
    <row r="190" customFormat="false" ht="15" hidden="false" customHeight="false" outlineLevel="0" collapsed="false">
      <c r="A190" s="7" t="n">
        <v>5795</v>
      </c>
      <c r="B190" s="7" t="s">
        <v>61</v>
      </c>
      <c r="C190" s="7" t="s">
        <v>282</v>
      </c>
      <c r="D190" s="7" t="s">
        <v>91</v>
      </c>
      <c r="E190" s="7" t="s">
        <v>643</v>
      </c>
      <c r="F190" s="7" t="s">
        <v>732</v>
      </c>
      <c r="G190" s="8" t="n">
        <v>-201.99</v>
      </c>
      <c r="H190" s="9"/>
      <c r="I190" s="10" t="str">
        <f aca="false">IF(H190="","",H190-G190)</f>
        <v/>
      </c>
    </row>
    <row r="191" customFormat="false" ht="15" hidden="false" customHeight="false" outlineLevel="0" collapsed="false">
      <c r="A191" s="12" t="s">
        <v>95</v>
      </c>
      <c r="G191" s="14" t="n">
        <f aca="false">SUM(G5:G190)</f>
        <v>-1680.63</v>
      </c>
      <c r="H191" s="14" t="n">
        <f aca="false">SUM(H5:H190)</f>
        <v>0</v>
      </c>
      <c r="I191" s="14" t="n">
        <f aca="false">SUM(I5:I190)</f>
        <v>0</v>
      </c>
    </row>
  </sheetData>
  <autoFilter ref="A4:I190"/>
  <conditionalFormatting sqref="I5:I190">
    <cfRule type="cellIs" priority="2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5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54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6.15" hidden="false" customHeight="false" outlineLevel="0" collapsed="false">
      <c r="A1" s="1" t="s">
        <v>733</v>
      </c>
    </row>
    <row r="2" customFormat="false" ht="15" hidden="false" customHeight="false" outlineLevel="0" collapsed="false">
      <c r="A2" s="4" t="s">
        <v>734</v>
      </c>
    </row>
    <row r="4" customFormat="false" ht="31.5" hidden="false" customHeight="true" outlineLevel="0" collapsed="false">
      <c r="A4" s="5" t="s">
        <v>39</v>
      </c>
      <c r="B4" s="5" t="s">
        <v>40</v>
      </c>
      <c r="C4" s="5" t="s">
        <v>98</v>
      </c>
      <c r="D4" s="5" t="s">
        <v>42</v>
      </c>
      <c r="E4" s="5" t="s">
        <v>735</v>
      </c>
      <c r="F4" s="5" t="s">
        <v>736</v>
      </c>
      <c r="G4" s="5" t="s">
        <v>285</v>
      </c>
      <c r="H4" s="5" t="s">
        <v>287</v>
      </c>
      <c r="I4" s="5" t="s">
        <v>737</v>
      </c>
      <c r="J4" s="5" t="s">
        <v>738</v>
      </c>
      <c r="K4" s="5" t="s">
        <v>739</v>
      </c>
      <c r="L4" s="5" t="s">
        <v>47</v>
      </c>
    </row>
    <row r="5" customFormat="false" ht="15" hidden="false" customHeight="false" outlineLevel="0" collapsed="false">
      <c r="A5" s="7" t="n">
        <v>5753</v>
      </c>
      <c r="B5" s="7" t="s">
        <v>61</v>
      </c>
      <c r="C5" s="7" t="s">
        <v>120</v>
      </c>
      <c r="D5" s="7" t="s">
        <v>93</v>
      </c>
      <c r="E5" s="7" t="n">
        <v>1</v>
      </c>
      <c r="F5" s="7" t="s">
        <v>740</v>
      </c>
      <c r="G5" s="7" t="s">
        <v>741</v>
      </c>
      <c r="H5" s="7" t="s">
        <v>742</v>
      </c>
      <c r="I5" s="15"/>
      <c r="J5" s="7" t="s">
        <v>743</v>
      </c>
      <c r="K5" s="16"/>
      <c r="L5" s="17" t="str">
        <f aca="false">IF(K5="","",K5-N(I5))</f>
        <v/>
      </c>
    </row>
    <row r="6" customFormat="false" ht="15" hidden="false" customHeight="false" outlineLevel="0" collapsed="false">
      <c r="A6" s="7" t="n">
        <v>5753</v>
      </c>
      <c r="B6" s="7" t="s">
        <v>61</v>
      </c>
      <c r="C6" s="7" t="s">
        <v>120</v>
      </c>
      <c r="D6" s="7" t="s">
        <v>93</v>
      </c>
      <c r="E6" s="7" t="n">
        <v>2</v>
      </c>
      <c r="F6" s="7" t="s">
        <v>744</v>
      </c>
      <c r="G6" s="7" t="s">
        <v>741</v>
      </c>
      <c r="H6" s="7" t="s">
        <v>745</v>
      </c>
      <c r="I6" s="15" t="n">
        <v>61.3</v>
      </c>
      <c r="J6" s="7" t="s">
        <v>746</v>
      </c>
      <c r="K6" s="16"/>
      <c r="L6" s="17" t="str">
        <f aca="false">IF(K6="","",K6-N(I6))</f>
        <v/>
      </c>
    </row>
    <row r="7" customFormat="false" ht="15" hidden="false" customHeight="false" outlineLevel="0" collapsed="false">
      <c r="A7" s="7" t="n">
        <v>5753</v>
      </c>
      <c r="B7" s="7" t="s">
        <v>61</v>
      </c>
      <c r="C7" s="7" t="s">
        <v>120</v>
      </c>
      <c r="D7" s="7" t="s">
        <v>93</v>
      </c>
      <c r="E7" s="7" t="n">
        <v>3</v>
      </c>
      <c r="F7" s="7" t="s">
        <v>747</v>
      </c>
      <c r="G7" s="7" t="s">
        <v>340</v>
      </c>
      <c r="H7" s="7" t="s">
        <v>748</v>
      </c>
      <c r="I7" s="15" t="n">
        <v>1520.9</v>
      </c>
      <c r="J7" s="7" t="s">
        <v>749</v>
      </c>
      <c r="K7" s="16"/>
      <c r="L7" s="17" t="str">
        <f aca="false">IF(K7="","",K7-N(I7))</f>
        <v/>
      </c>
    </row>
    <row r="8" customFormat="false" ht="15" hidden="false" customHeight="false" outlineLevel="0" collapsed="false">
      <c r="A8" s="7" t="n">
        <v>5753</v>
      </c>
      <c r="B8" s="7" t="s">
        <v>61</v>
      </c>
      <c r="C8" s="7" t="s">
        <v>120</v>
      </c>
      <c r="D8" s="7" t="s">
        <v>93</v>
      </c>
      <c r="E8" s="7" t="n">
        <v>4</v>
      </c>
      <c r="F8" s="7" t="s">
        <v>740</v>
      </c>
      <c r="G8" s="7" t="s">
        <v>319</v>
      </c>
      <c r="H8" s="7" t="s">
        <v>750</v>
      </c>
      <c r="I8" s="15" t="n">
        <v>323.5</v>
      </c>
      <c r="J8" s="7" t="s">
        <v>751</v>
      </c>
      <c r="K8" s="16"/>
      <c r="L8" s="17" t="str">
        <f aca="false">IF(K8="","",K8-N(I8))</f>
        <v/>
      </c>
    </row>
    <row r="9" customFormat="false" ht="15" hidden="false" customHeight="false" outlineLevel="0" collapsed="false">
      <c r="A9" s="7" t="n">
        <v>5753</v>
      </c>
      <c r="B9" s="7" t="s">
        <v>61</v>
      </c>
      <c r="C9" s="7" t="s">
        <v>124</v>
      </c>
      <c r="D9" s="7" t="s">
        <v>74</v>
      </c>
      <c r="E9" s="7" t="n">
        <v>1</v>
      </c>
      <c r="F9" s="7" t="s">
        <v>744</v>
      </c>
      <c r="G9" s="7" t="s">
        <v>294</v>
      </c>
      <c r="H9" s="7" t="s">
        <v>752</v>
      </c>
      <c r="I9" s="15"/>
      <c r="J9" s="7" t="s">
        <v>746</v>
      </c>
      <c r="K9" s="16"/>
      <c r="L9" s="17" t="str">
        <f aca="false">IF(K9="","",K9-N(I9))</f>
        <v/>
      </c>
    </row>
    <row r="10" customFormat="false" ht="15" hidden="false" customHeight="false" outlineLevel="0" collapsed="false">
      <c r="A10" s="7" t="n">
        <v>5753</v>
      </c>
      <c r="B10" s="7" t="s">
        <v>61</v>
      </c>
      <c r="C10" s="7" t="s">
        <v>124</v>
      </c>
      <c r="D10" s="7" t="s">
        <v>74</v>
      </c>
      <c r="E10" s="7" t="n">
        <v>2</v>
      </c>
      <c r="F10" s="7" t="s">
        <v>747</v>
      </c>
      <c r="G10" s="7" t="s">
        <v>741</v>
      </c>
      <c r="H10" s="7" t="s">
        <v>742</v>
      </c>
      <c r="I10" s="15" t="n">
        <v>1890.2</v>
      </c>
      <c r="J10" s="7" t="s">
        <v>749</v>
      </c>
      <c r="K10" s="16"/>
      <c r="L10" s="17" t="str">
        <f aca="false">IF(K10="","",K10-N(I10))</f>
        <v/>
      </c>
    </row>
    <row r="11" customFormat="false" ht="15" hidden="false" customHeight="false" outlineLevel="0" collapsed="false">
      <c r="A11" s="7" t="n">
        <v>5760</v>
      </c>
      <c r="B11" s="7" t="s">
        <v>61</v>
      </c>
      <c r="C11" s="7" t="s">
        <v>127</v>
      </c>
      <c r="D11" s="7" t="s">
        <v>65</v>
      </c>
      <c r="E11" s="7" t="n">
        <v>1</v>
      </c>
      <c r="F11" s="7" t="s">
        <v>744</v>
      </c>
      <c r="G11" s="7" t="s">
        <v>340</v>
      </c>
      <c r="H11" s="7" t="s">
        <v>753</v>
      </c>
      <c r="I11" s="15"/>
      <c r="J11" s="7" t="s">
        <v>746</v>
      </c>
      <c r="K11" s="16"/>
      <c r="L11" s="17" t="str">
        <f aca="false">IF(K11="","",K11-N(I11))</f>
        <v/>
      </c>
    </row>
    <row r="12" customFormat="false" ht="15" hidden="false" customHeight="false" outlineLevel="0" collapsed="false">
      <c r="A12" s="7" t="n">
        <v>5760</v>
      </c>
      <c r="B12" s="7" t="s">
        <v>61</v>
      </c>
      <c r="C12" s="7" t="s">
        <v>127</v>
      </c>
      <c r="D12" s="7" t="s">
        <v>65</v>
      </c>
      <c r="E12" s="7" t="n">
        <v>2</v>
      </c>
      <c r="F12" s="7" t="s">
        <v>747</v>
      </c>
      <c r="G12" s="7" t="s">
        <v>310</v>
      </c>
      <c r="H12" s="7" t="s">
        <v>754</v>
      </c>
      <c r="I12" s="15" t="n">
        <v>1421.3</v>
      </c>
      <c r="J12" s="7" t="s">
        <v>749</v>
      </c>
      <c r="K12" s="16"/>
      <c r="L12" s="17" t="str">
        <f aca="false">IF(K12="","",K12-N(I12))</f>
        <v/>
      </c>
    </row>
    <row r="13" customFormat="false" ht="15" hidden="false" customHeight="false" outlineLevel="0" collapsed="false">
      <c r="A13" s="7" t="n">
        <v>5760</v>
      </c>
      <c r="B13" s="7" t="s">
        <v>61</v>
      </c>
      <c r="C13" s="7" t="s">
        <v>130</v>
      </c>
      <c r="D13" s="7" t="s">
        <v>65</v>
      </c>
      <c r="E13" s="7" t="n">
        <v>1</v>
      </c>
      <c r="F13" s="7" t="s">
        <v>740</v>
      </c>
      <c r="G13" s="7" t="s">
        <v>310</v>
      </c>
      <c r="H13" s="7" t="s">
        <v>754</v>
      </c>
      <c r="I13" s="15"/>
      <c r="J13" s="7" t="s">
        <v>743</v>
      </c>
      <c r="K13" s="16"/>
      <c r="L13" s="17" t="str">
        <f aca="false">IF(K13="","",K13-N(I13))</f>
        <v/>
      </c>
    </row>
    <row r="14" customFormat="false" ht="15" hidden="false" customHeight="false" outlineLevel="0" collapsed="false">
      <c r="A14" s="7" t="n">
        <v>5760</v>
      </c>
      <c r="B14" s="7" t="s">
        <v>61</v>
      </c>
      <c r="C14" s="7" t="s">
        <v>130</v>
      </c>
      <c r="D14" s="7" t="s">
        <v>65</v>
      </c>
      <c r="E14" s="7" t="n">
        <v>2</v>
      </c>
      <c r="F14" s="7" t="s">
        <v>744</v>
      </c>
      <c r="G14" s="7" t="s">
        <v>310</v>
      </c>
      <c r="H14" s="7" t="s">
        <v>755</v>
      </c>
      <c r="I14" s="15" t="n">
        <v>21.3</v>
      </c>
      <c r="J14" s="7" t="s">
        <v>746</v>
      </c>
      <c r="K14" s="16"/>
      <c r="L14" s="17" t="str">
        <f aca="false">IF(K14="","",K14-N(I14))</f>
        <v/>
      </c>
    </row>
    <row r="15" customFormat="false" ht="15" hidden="false" customHeight="false" outlineLevel="0" collapsed="false">
      <c r="A15" s="7" t="n">
        <v>5760</v>
      </c>
      <c r="B15" s="7" t="s">
        <v>61</v>
      </c>
      <c r="C15" s="7" t="s">
        <v>130</v>
      </c>
      <c r="D15" s="7" t="s">
        <v>65</v>
      </c>
      <c r="E15" s="7" t="n">
        <v>3</v>
      </c>
      <c r="F15" s="7" t="s">
        <v>747</v>
      </c>
      <c r="G15" s="7" t="s">
        <v>313</v>
      </c>
      <c r="H15" s="7" t="s">
        <v>756</v>
      </c>
      <c r="I15" s="15" t="n">
        <v>1150.5</v>
      </c>
      <c r="J15" s="7" t="s">
        <v>749</v>
      </c>
      <c r="K15" s="16"/>
      <c r="L15" s="17" t="str">
        <f aca="false">IF(K15="","",K15-N(I15))</f>
        <v/>
      </c>
    </row>
    <row r="16" customFormat="false" ht="15" hidden="false" customHeight="false" outlineLevel="0" collapsed="false">
      <c r="A16" s="7" t="n">
        <v>5760</v>
      </c>
      <c r="B16" s="7" t="s">
        <v>61</v>
      </c>
      <c r="C16" s="7" t="s">
        <v>130</v>
      </c>
      <c r="D16" s="7" t="s">
        <v>65</v>
      </c>
      <c r="E16" s="7" t="n">
        <v>4</v>
      </c>
      <c r="F16" s="7" t="s">
        <v>740</v>
      </c>
      <c r="G16" s="7" t="s">
        <v>316</v>
      </c>
      <c r="H16" s="7" t="s">
        <v>750</v>
      </c>
      <c r="I16" s="15" t="n">
        <v>342.2</v>
      </c>
      <c r="J16" s="7" t="s">
        <v>751</v>
      </c>
      <c r="K16" s="16"/>
      <c r="L16" s="17" t="str">
        <f aca="false">IF(K16="","",K16-N(I16))</f>
        <v/>
      </c>
    </row>
    <row r="17" customFormat="false" ht="15" hidden="false" customHeight="false" outlineLevel="0" collapsed="false">
      <c r="A17" s="7" t="n">
        <v>5761</v>
      </c>
      <c r="B17" s="7" t="s">
        <v>61</v>
      </c>
      <c r="C17" s="7" t="s">
        <v>132</v>
      </c>
      <c r="D17" s="7" t="s">
        <v>67</v>
      </c>
      <c r="E17" s="7" t="n">
        <v>1</v>
      </c>
      <c r="F17" s="7" t="s">
        <v>744</v>
      </c>
      <c r="G17" s="7" t="s">
        <v>319</v>
      </c>
      <c r="H17" s="7" t="s">
        <v>757</v>
      </c>
      <c r="I17" s="15"/>
      <c r="J17" s="7" t="s">
        <v>746</v>
      </c>
      <c r="K17" s="16"/>
      <c r="L17" s="17" t="str">
        <f aca="false">IF(K17="","",K17-N(I17))</f>
        <v/>
      </c>
    </row>
    <row r="18" customFormat="false" ht="15" hidden="false" customHeight="false" outlineLevel="0" collapsed="false">
      <c r="A18" s="7" t="n">
        <v>5761</v>
      </c>
      <c r="B18" s="7" t="s">
        <v>61</v>
      </c>
      <c r="C18" s="7" t="s">
        <v>132</v>
      </c>
      <c r="D18" s="7" t="s">
        <v>67</v>
      </c>
      <c r="E18" s="7" t="n">
        <v>2</v>
      </c>
      <c r="F18" s="7" t="s">
        <v>747</v>
      </c>
      <c r="G18" s="7" t="s">
        <v>324</v>
      </c>
      <c r="H18" s="7" t="s">
        <v>758</v>
      </c>
      <c r="I18" s="15" t="n">
        <v>1421.3</v>
      </c>
      <c r="J18" s="7" t="s">
        <v>749</v>
      </c>
      <c r="K18" s="16"/>
      <c r="L18" s="17" t="str">
        <f aca="false">IF(K18="","",K18-N(I18))</f>
        <v/>
      </c>
    </row>
    <row r="19" customFormat="false" ht="15" hidden="false" customHeight="false" outlineLevel="0" collapsed="false">
      <c r="A19" s="7" t="n">
        <v>5761</v>
      </c>
      <c r="B19" s="7" t="s">
        <v>61</v>
      </c>
      <c r="C19" s="7" t="s">
        <v>135</v>
      </c>
      <c r="D19" s="7" t="s">
        <v>67</v>
      </c>
      <c r="E19" s="7" t="n">
        <v>1</v>
      </c>
      <c r="F19" s="7" t="s">
        <v>740</v>
      </c>
      <c r="G19" s="7" t="s">
        <v>324</v>
      </c>
      <c r="H19" s="7" t="s">
        <v>758</v>
      </c>
      <c r="I19" s="15"/>
      <c r="J19" s="7" t="s">
        <v>743</v>
      </c>
      <c r="K19" s="16"/>
      <c r="L19" s="17" t="str">
        <f aca="false">IF(K19="","",K19-N(I19))</f>
        <v/>
      </c>
    </row>
    <row r="20" customFormat="false" ht="15" hidden="false" customHeight="false" outlineLevel="0" collapsed="false">
      <c r="A20" s="7" t="n">
        <v>5761</v>
      </c>
      <c r="B20" s="7" t="s">
        <v>61</v>
      </c>
      <c r="C20" s="7" t="s">
        <v>135</v>
      </c>
      <c r="D20" s="7" t="s">
        <v>67</v>
      </c>
      <c r="E20" s="7" t="n">
        <v>2</v>
      </c>
      <c r="F20" s="7" t="s">
        <v>744</v>
      </c>
      <c r="G20" s="7" t="s">
        <v>313</v>
      </c>
      <c r="H20" s="7" t="s">
        <v>759</v>
      </c>
      <c r="I20" s="15" t="n">
        <v>223.3</v>
      </c>
      <c r="J20" s="7" t="s">
        <v>746</v>
      </c>
      <c r="K20" s="16"/>
      <c r="L20" s="17" t="str">
        <f aca="false">IF(K20="","",K20-N(I20))</f>
        <v/>
      </c>
    </row>
    <row r="21" customFormat="false" ht="15" hidden="false" customHeight="false" outlineLevel="0" collapsed="false">
      <c r="A21" s="7" t="n">
        <v>5761</v>
      </c>
      <c r="B21" s="7" t="s">
        <v>61</v>
      </c>
      <c r="C21" s="7" t="s">
        <v>135</v>
      </c>
      <c r="D21" s="7" t="s">
        <v>67</v>
      </c>
      <c r="E21" s="7" t="n">
        <v>3</v>
      </c>
      <c r="F21" s="7" t="s">
        <v>747</v>
      </c>
      <c r="G21" s="7" t="s">
        <v>316</v>
      </c>
      <c r="H21" s="7" t="s">
        <v>760</v>
      </c>
      <c r="I21" s="15" t="n">
        <v>1464.7</v>
      </c>
      <c r="J21" s="7" t="s">
        <v>749</v>
      </c>
      <c r="K21" s="16"/>
      <c r="L21" s="17" t="str">
        <f aca="false">IF(K21="","",K21-N(I21))</f>
        <v/>
      </c>
    </row>
    <row r="22" customFormat="false" ht="15" hidden="false" customHeight="false" outlineLevel="0" collapsed="false">
      <c r="A22" s="7" t="n">
        <v>5762</v>
      </c>
      <c r="B22" s="7" t="s">
        <v>61</v>
      </c>
      <c r="C22" s="7" t="s">
        <v>137</v>
      </c>
      <c r="D22" s="7" t="s">
        <v>69</v>
      </c>
      <c r="E22" s="7" t="n">
        <v>1</v>
      </c>
      <c r="F22" s="7" t="s">
        <v>740</v>
      </c>
      <c r="G22" s="7" t="s">
        <v>324</v>
      </c>
      <c r="H22" s="7" t="s">
        <v>761</v>
      </c>
      <c r="I22" s="15"/>
      <c r="J22" s="7" t="s">
        <v>743</v>
      </c>
      <c r="K22" s="16"/>
      <c r="L22" s="17" t="str">
        <f aca="false">IF(K22="","",K22-N(I22))</f>
        <v/>
      </c>
    </row>
    <row r="23" customFormat="false" ht="15" hidden="false" customHeight="false" outlineLevel="0" collapsed="false">
      <c r="A23" s="7" t="n">
        <v>5762</v>
      </c>
      <c r="B23" s="7" t="s">
        <v>61</v>
      </c>
      <c r="C23" s="7" t="s">
        <v>137</v>
      </c>
      <c r="D23" s="7" t="s">
        <v>69</v>
      </c>
      <c r="E23" s="7" t="n">
        <v>2</v>
      </c>
      <c r="F23" s="7" t="s">
        <v>744</v>
      </c>
      <c r="G23" s="7" t="s">
        <v>313</v>
      </c>
      <c r="H23" s="7" t="s">
        <v>762</v>
      </c>
      <c r="I23" s="15" t="n">
        <v>333.7</v>
      </c>
      <c r="J23" s="7" t="s">
        <v>746</v>
      </c>
      <c r="K23" s="16"/>
      <c r="L23" s="17" t="str">
        <f aca="false">IF(K23="","",K23-N(I23))</f>
        <v/>
      </c>
    </row>
    <row r="24" customFormat="false" ht="15" hidden="false" customHeight="false" outlineLevel="0" collapsed="false">
      <c r="A24" s="7" t="n">
        <v>5762</v>
      </c>
      <c r="B24" s="7" t="s">
        <v>61</v>
      </c>
      <c r="C24" s="7" t="s">
        <v>137</v>
      </c>
      <c r="D24" s="7" t="s">
        <v>69</v>
      </c>
      <c r="E24" s="7" t="n">
        <v>3</v>
      </c>
      <c r="F24" s="7" t="s">
        <v>747</v>
      </c>
      <c r="G24" s="7" t="s">
        <v>316</v>
      </c>
      <c r="H24" s="7" t="s">
        <v>763</v>
      </c>
      <c r="I24" s="15" t="n">
        <v>1190.6</v>
      </c>
      <c r="J24" s="7" t="s">
        <v>749</v>
      </c>
      <c r="K24" s="16"/>
      <c r="L24" s="17" t="str">
        <f aca="false">IF(K24="","",K24-N(I24))</f>
        <v/>
      </c>
    </row>
    <row r="25" customFormat="false" ht="15" hidden="false" customHeight="false" outlineLevel="0" collapsed="false">
      <c r="A25" s="7" t="n">
        <v>5762</v>
      </c>
      <c r="B25" s="7" t="s">
        <v>61</v>
      </c>
      <c r="C25" s="7" t="s">
        <v>139</v>
      </c>
      <c r="D25" s="7" t="s">
        <v>69</v>
      </c>
      <c r="E25" s="7" t="n">
        <v>1</v>
      </c>
      <c r="F25" s="7" t="s">
        <v>744</v>
      </c>
      <c r="G25" s="7" t="s">
        <v>319</v>
      </c>
      <c r="H25" s="7" t="s">
        <v>764</v>
      </c>
      <c r="I25" s="15"/>
      <c r="J25" s="7" t="s">
        <v>746</v>
      </c>
      <c r="K25" s="16"/>
      <c r="L25" s="17" t="str">
        <f aca="false">IF(K25="","",K25-N(I25))</f>
        <v/>
      </c>
    </row>
    <row r="26" customFormat="false" ht="15" hidden="false" customHeight="false" outlineLevel="0" collapsed="false">
      <c r="A26" s="7" t="n">
        <v>5762</v>
      </c>
      <c r="B26" s="7" t="s">
        <v>61</v>
      </c>
      <c r="C26" s="7" t="s">
        <v>139</v>
      </c>
      <c r="D26" s="7" t="s">
        <v>69</v>
      </c>
      <c r="E26" s="7" t="n">
        <v>2</v>
      </c>
      <c r="F26" s="7" t="s">
        <v>747</v>
      </c>
      <c r="G26" s="7" t="s">
        <v>324</v>
      </c>
      <c r="H26" s="7" t="s">
        <v>761</v>
      </c>
      <c r="I26" s="15" t="n">
        <v>1496.3</v>
      </c>
      <c r="J26" s="7" t="s">
        <v>749</v>
      </c>
      <c r="K26" s="16"/>
      <c r="L26" s="17" t="str">
        <f aca="false">IF(K26="","",K26-N(I26))</f>
        <v/>
      </c>
    </row>
    <row r="27" customFormat="false" ht="15" hidden="false" customHeight="false" outlineLevel="0" collapsed="false">
      <c r="A27" s="7" t="n">
        <v>5763</v>
      </c>
      <c r="B27" s="7" t="s">
        <v>61</v>
      </c>
      <c r="C27" s="7" t="s">
        <v>141</v>
      </c>
      <c r="D27" s="7" t="s">
        <v>71</v>
      </c>
      <c r="E27" s="7" t="n">
        <v>1</v>
      </c>
      <c r="F27" s="7" t="s">
        <v>740</v>
      </c>
      <c r="G27" s="7" t="s">
        <v>324</v>
      </c>
      <c r="H27" s="7" t="s">
        <v>765</v>
      </c>
      <c r="I27" s="15"/>
      <c r="J27" s="7" t="s">
        <v>743</v>
      </c>
      <c r="K27" s="16"/>
      <c r="L27" s="17" t="str">
        <f aca="false">IF(K27="","",K27-N(I27))</f>
        <v/>
      </c>
    </row>
    <row r="28" customFormat="false" ht="15" hidden="false" customHeight="false" outlineLevel="0" collapsed="false">
      <c r="A28" s="7" t="n">
        <v>5763</v>
      </c>
      <c r="B28" s="7" t="s">
        <v>61</v>
      </c>
      <c r="C28" s="7" t="s">
        <v>141</v>
      </c>
      <c r="D28" s="7" t="s">
        <v>71</v>
      </c>
      <c r="E28" s="7" t="n">
        <v>2</v>
      </c>
      <c r="F28" s="7" t="s">
        <v>744</v>
      </c>
      <c r="G28" s="7" t="s">
        <v>313</v>
      </c>
      <c r="H28" s="7" t="s">
        <v>766</v>
      </c>
      <c r="I28" s="15" t="n">
        <v>107.9</v>
      </c>
      <c r="J28" s="7" t="s">
        <v>746</v>
      </c>
      <c r="K28" s="16"/>
      <c r="L28" s="17" t="str">
        <f aca="false">IF(K28="","",K28-N(I28))</f>
        <v/>
      </c>
    </row>
    <row r="29" customFormat="false" ht="15" hidden="false" customHeight="false" outlineLevel="0" collapsed="false">
      <c r="A29" s="7" t="n">
        <v>5763</v>
      </c>
      <c r="B29" s="7" t="s">
        <v>61</v>
      </c>
      <c r="C29" s="7" t="s">
        <v>141</v>
      </c>
      <c r="D29" s="7" t="s">
        <v>71</v>
      </c>
      <c r="E29" s="7" t="n">
        <v>3</v>
      </c>
      <c r="F29" s="7" t="s">
        <v>747</v>
      </c>
      <c r="G29" s="7" t="s">
        <v>316</v>
      </c>
      <c r="H29" s="7" t="s">
        <v>763</v>
      </c>
      <c r="I29" s="15" t="n">
        <v>1229.5</v>
      </c>
      <c r="J29" s="7" t="s">
        <v>749</v>
      </c>
      <c r="K29" s="16"/>
      <c r="L29" s="17" t="str">
        <f aca="false">IF(K29="","",K29-N(I29))</f>
        <v/>
      </c>
    </row>
    <row r="30" customFormat="false" ht="15" hidden="false" customHeight="false" outlineLevel="0" collapsed="false">
      <c r="A30" s="7" t="n">
        <v>5763</v>
      </c>
      <c r="B30" s="7" t="s">
        <v>61</v>
      </c>
      <c r="C30" s="7" t="s">
        <v>144</v>
      </c>
      <c r="D30" s="7" t="s">
        <v>71</v>
      </c>
      <c r="E30" s="7" t="n">
        <v>1</v>
      </c>
      <c r="F30" s="7" t="s">
        <v>744</v>
      </c>
      <c r="G30" s="7" t="s">
        <v>319</v>
      </c>
      <c r="H30" s="7" t="s">
        <v>767</v>
      </c>
      <c r="I30" s="15"/>
      <c r="J30" s="7" t="s">
        <v>746</v>
      </c>
      <c r="K30" s="16"/>
      <c r="L30" s="17" t="str">
        <f aca="false">IF(K30="","",K30-N(I30))</f>
        <v/>
      </c>
    </row>
    <row r="31" customFormat="false" ht="15" hidden="false" customHeight="false" outlineLevel="0" collapsed="false">
      <c r="A31" s="7" t="n">
        <v>5763</v>
      </c>
      <c r="B31" s="7" t="s">
        <v>61</v>
      </c>
      <c r="C31" s="7" t="s">
        <v>144</v>
      </c>
      <c r="D31" s="7" t="s">
        <v>71</v>
      </c>
      <c r="E31" s="7" t="n">
        <v>2</v>
      </c>
      <c r="F31" s="7" t="s">
        <v>747</v>
      </c>
      <c r="G31" s="7" t="s">
        <v>324</v>
      </c>
      <c r="H31" s="7" t="s">
        <v>765</v>
      </c>
      <c r="I31" s="15" t="n">
        <v>1335</v>
      </c>
      <c r="J31" s="7" t="s">
        <v>749</v>
      </c>
      <c r="K31" s="16"/>
      <c r="L31" s="17" t="str">
        <f aca="false">IF(K31="","",K31-N(I31))</f>
        <v/>
      </c>
    </row>
    <row r="32" customFormat="false" ht="15" hidden="false" customHeight="false" outlineLevel="0" collapsed="false">
      <c r="A32" s="7" t="n">
        <v>5764</v>
      </c>
      <c r="B32" s="7" t="s">
        <v>61</v>
      </c>
      <c r="C32" s="7" t="s">
        <v>146</v>
      </c>
      <c r="D32" s="7" t="s">
        <v>84</v>
      </c>
      <c r="E32" s="7" t="n">
        <v>1</v>
      </c>
      <c r="F32" s="7" t="s">
        <v>744</v>
      </c>
      <c r="G32" s="7" t="s">
        <v>319</v>
      </c>
      <c r="H32" s="7" t="s">
        <v>752</v>
      </c>
      <c r="I32" s="15"/>
      <c r="J32" s="7" t="s">
        <v>746</v>
      </c>
      <c r="K32" s="16"/>
      <c r="L32" s="17" t="str">
        <f aca="false">IF(K32="","",K32-N(I32))</f>
        <v/>
      </c>
    </row>
    <row r="33" customFormat="false" ht="15" hidden="false" customHeight="false" outlineLevel="0" collapsed="false">
      <c r="A33" s="7" t="n">
        <v>5764</v>
      </c>
      <c r="B33" s="7" t="s">
        <v>61</v>
      </c>
      <c r="C33" s="7" t="s">
        <v>146</v>
      </c>
      <c r="D33" s="7" t="s">
        <v>84</v>
      </c>
      <c r="E33" s="7" t="n">
        <v>2</v>
      </c>
      <c r="F33" s="7" t="s">
        <v>747</v>
      </c>
      <c r="G33" s="7" t="s">
        <v>313</v>
      </c>
      <c r="H33" s="7" t="s">
        <v>742</v>
      </c>
      <c r="I33" s="15" t="n">
        <v>1890.2</v>
      </c>
      <c r="J33" s="7" t="s">
        <v>749</v>
      </c>
      <c r="K33" s="16"/>
      <c r="L33" s="17" t="str">
        <f aca="false">IF(K33="","",K33-N(I33))</f>
        <v/>
      </c>
    </row>
    <row r="34" customFormat="false" ht="15" hidden="false" customHeight="false" outlineLevel="0" collapsed="false">
      <c r="A34" s="7" t="n">
        <v>5764</v>
      </c>
      <c r="B34" s="7" t="s">
        <v>61</v>
      </c>
      <c r="C34" s="7" t="s">
        <v>147</v>
      </c>
      <c r="D34" s="7" t="s">
        <v>93</v>
      </c>
      <c r="E34" s="7" t="n">
        <v>1</v>
      </c>
      <c r="F34" s="7" t="s">
        <v>740</v>
      </c>
      <c r="G34" s="7" t="s">
        <v>313</v>
      </c>
      <c r="H34" s="7" t="s">
        <v>742</v>
      </c>
      <c r="I34" s="15"/>
      <c r="J34" s="7" t="s">
        <v>743</v>
      </c>
      <c r="K34" s="16"/>
      <c r="L34" s="17" t="str">
        <f aca="false">IF(K34="","",K34-N(I34))</f>
        <v/>
      </c>
    </row>
    <row r="35" customFormat="false" ht="15" hidden="false" customHeight="false" outlineLevel="0" collapsed="false">
      <c r="A35" s="7" t="n">
        <v>5764</v>
      </c>
      <c r="B35" s="7" t="s">
        <v>61</v>
      </c>
      <c r="C35" s="7" t="s">
        <v>147</v>
      </c>
      <c r="D35" s="7" t="s">
        <v>93</v>
      </c>
      <c r="E35" s="7" t="n">
        <v>2</v>
      </c>
      <c r="F35" s="7" t="s">
        <v>744</v>
      </c>
      <c r="G35" s="7" t="s">
        <v>313</v>
      </c>
      <c r="H35" s="7" t="s">
        <v>768</v>
      </c>
      <c r="I35" s="15" t="n">
        <v>30.4</v>
      </c>
      <c r="J35" s="7" t="s">
        <v>746</v>
      </c>
      <c r="K35" s="16"/>
      <c r="L35" s="17" t="str">
        <f aca="false">IF(K35="","",K35-N(I35))</f>
        <v/>
      </c>
    </row>
    <row r="36" customFormat="false" ht="15" hidden="false" customHeight="false" outlineLevel="0" collapsed="false">
      <c r="A36" s="7" t="n">
        <v>5764</v>
      </c>
      <c r="B36" s="7" t="s">
        <v>61</v>
      </c>
      <c r="C36" s="7" t="s">
        <v>147</v>
      </c>
      <c r="D36" s="7" t="s">
        <v>93</v>
      </c>
      <c r="E36" s="7" t="n">
        <v>3</v>
      </c>
      <c r="F36" s="7" t="s">
        <v>747</v>
      </c>
      <c r="G36" s="7" t="s">
        <v>316</v>
      </c>
      <c r="H36" s="7" t="s">
        <v>769</v>
      </c>
      <c r="I36" s="15" t="n">
        <v>1707.1</v>
      </c>
      <c r="J36" s="7" t="s">
        <v>749</v>
      </c>
      <c r="K36" s="16"/>
      <c r="L36" s="17" t="str">
        <f aca="false">IF(K36="","",K36-N(I36))</f>
        <v/>
      </c>
    </row>
    <row r="37" customFormat="false" ht="15" hidden="false" customHeight="false" outlineLevel="0" collapsed="false">
      <c r="A37" s="7" t="n">
        <v>5764</v>
      </c>
      <c r="B37" s="7" t="s">
        <v>61</v>
      </c>
      <c r="C37" s="7" t="s">
        <v>147</v>
      </c>
      <c r="D37" s="7" t="s">
        <v>93</v>
      </c>
      <c r="E37" s="7" t="n">
        <v>4</v>
      </c>
      <c r="F37" s="7" t="s">
        <v>740</v>
      </c>
      <c r="G37" s="7" t="s">
        <v>316</v>
      </c>
      <c r="H37" s="7" t="s">
        <v>750</v>
      </c>
      <c r="I37" s="15" t="n">
        <v>230.9</v>
      </c>
      <c r="J37" s="7" t="s">
        <v>751</v>
      </c>
      <c r="K37" s="16"/>
      <c r="L37" s="17" t="str">
        <f aca="false">IF(K37="","",K37-N(I37))</f>
        <v/>
      </c>
    </row>
    <row r="38" customFormat="false" ht="15" hidden="false" customHeight="false" outlineLevel="0" collapsed="false">
      <c r="A38" s="7" t="n">
        <v>5765</v>
      </c>
      <c r="B38" s="7" t="s">
        <v>61</v>
      </c>
      <c r="C38" s="7" t="s">
        <v>150</v>
      </c>
      <c r="D38" s="7" t="s">
        <v>74</v>
      </c>
      <c r="E38" s="7" t="n">
        <v>1</v>
      </c>
      <c r="F38" s="7" t="s">
        <v>740</v>
      </c>
      <c r="G38" s="7" t="s">
        <v>313</v>
      </c>
      <c r="H38" s="7" t="s">
        <v>742</v>
      </c>
      <c r="I38" s="15"/>
      <c r="J38" s="7" t="s">
        <v>743</v>
      </c>
      <c r="K38" s="16"/>
      <c r="L38" s="17" t="str">
        <f aca="false">IF(K38="","",K38-N(I38))</f>
        <v/>
      </c>
    </row>
    <row r="39" customFormat="false" ht="15" hidden="false" customHeight="false" outlineLevel="0" collapsed="false">
      <c r="A39" s="7" t="n">
        <v>5765</v>
      </c>
      <c r="B39" s="7" t="s">
        <v>61</v>
      </c>
      <c r="C39" s="7" t="s">
        <v>150</v>
      </c>
      <c r="D39" s="7" t="s">
        <v>74</v>
      </c>
      <c r="E39" s="7" t="n">
        <v>2</v>
      </c>
      <c r="F39" s="7" t="s">
        <v>744</v>
      </c>
      <c r="G39" s="7" t="s">
        <v>313</v>
      </c>
      <c r="H39" s="7" t="s">
        <v>768</v>
      </c>
      <c r="I39" s="15" t="n">
        <v>30.4</v>
      </c>
      <c r="J39" s="7" t="s">
        <v>746</v>
      </c>
      <c r="K39" s="16"/>
      <c r="L39" s="17" t="str">
        <f aca="false">IF(K39="","",K39-N(I39))</f>
        <v/>
      </c>
    </row>
    <row r="40" customFormat="false" ht="15" hidden="false" customHeight="false" outlineLevel="0" collapsed="false">
      <c r="A40" s="7" t="n">
        <v>5765</v>
      </c>
      <c r="B40" s="7" t="s">
        <v>61</v>
      </c>
      <c r="C40" s="7" t="s">
        <v>150</v>
      </c>
      <c r="D40" s="7" t="s">
        <v>74</v>
      </c>
      <c r="E40" s="7" t="n">
        <v>3</v>
      </c>
      <c r="F40" s="7" t="s">
        <v>747</v>
      </c>
      <c r="G40" s="7" t="s">
        <v>316</v>
      </c>
      <c r="H40" s="7" t="s">
        <v>769</v>
      </c>
      <c r="I40" s="15" t="n">
        <v>1707.1</v>
      </c>
      <c r="J40" s="7" t="s">
        <v>749</v>
      </c>
      <c r="K40" s="16"/>
      <c r="L40" s="17" t="str">
        <f aca="false">IF(K40="","",K40-N(I40))</f>
        <v/>
      </c>
    </row>
    <row r="41" customFormat="false" ht="15" hidden="false" customHeight="false" outlineLevel="0" collapsed="false">
      <c r="A41" s="7" t="n">
        <v>5765</v>
      </c>
      <c r="B41" s="7" t="s">
        <v>61</v>
      </c>
      <c r="C41" s="7" t="s">
        <v>150</v>
      </c>
      <c r="D41" s="7" t="s">
        <v>74</v>
      </c>
      <c r="E41" s="7" t="n">
        <v>4</v>
      </c>
      <c r="F41" s="7" t="s">
        <v>740</v>
      </c>
      <c r="G41" s="7" t="s">
        <v>372</v>
      </c>
      <c r="H41" s="7" t="s">
        <v>750</v>
      </c>
      <c r="I41" s="15" t="n">
        <v>230.9</v>
      </c>
      <c r="J41" s="7" t="s">
        <v>751</v>
      </c>
      <c r="K41" s="16"/>
      <c r="L41" s="17" t="str">
        <f aca="false">IF(K41="","",K41-N(I41))</f>
        <v/>
      </c>
    </row>
    <row r="42" customFormat="false" ht="15" hidden="false" customHeight="false" outlineLevel="0" collapsed="false">
      <c r="A42" s="7" t="n">
        <v>5765</v>
      </c>
      <c r="B42" s="7" t="s">
        <v>61</v>
      </c>
      <c r="C42" s="7" t="s">
        <v>151</v>
      </c>
      <c r="D42" s="7" t="s">
        <v>74</v>
      </c>
      <c r="E42" s="7" t="n">
        <v>1</v>
      </c>
      <c r="F42" s="7" t="s">
        <v>744</v>
      </c>
      <c r="G42" s="7" t="s">
        <v>294</v>
      </c>
      <c r="H42" s="7" t="s">
        <v>752</v>
      </c>
      <c r="I42" s="15"/>
      <c r="J42" s="7" t="s">
        <v>746</v>
      </c>
      <c r="K42" s="16"/>
      <c r="L42" s="17" t="str">
        <f aca="false">IF(K42="","",K42-N(I42))</f>
        <v/>
      </c>
    </row>
    <row r="43" customFormat="false" ht="15" hidden="false" customHeight="false" outlineLevel="0" collapsed="false">
      <c r="A43" s="7" t="n">
        <v>5765</v>
      </c>
      <c r="B43" s="7" t="s">
        <v>61</v>
      </c>
      <c r="C43" s="7" t="s">
        <v>151</v>
      </c>
      <c r="D43" s="7" t="s">
        <v>74</v>
      </c>
      <c r="E43" s="7" t="n">
        <v>2</v>
      </c>
      <c r="F43" s="7" t="s">
        <v>747</v>
      </c>
      <c r="G43" s="7" t="s">
        <v>313</v>
      </c>
      <c r="H43" s="7" t="s">
        <v>742</v>
      </c>
      <c r="I43" s="15" t="n">
        <v>1890.2</v>
      </c>
      <c r="J43" s="7" t="s">
        <v>749</v>
      </c>
      <c r="K43" s="16"/>
      <c r="L43" s="17" t="str">
        <f aca="false">IF(K43="","",K43-N(I43))</f>
        <v/>
      </c>
    </row>
    <row r="44" customFormat="false" ht="15" hidden="false" customHeight="false" outlineLevel="0" collapsed="false">
      <c r="A44" s="7" t="n">
        <v>5766</v>
      </c>
      <c r="B44" s="7" t="s">
        <v>75</v>
      </c>
      <c r="C44" s="7" t="s">
        <v>152</v>
      </c>
      <c r="D44" s="7" t="s">
        <v>77</v>
      </c>
      <c r="E44" s="7" t="n">
        <v>1</v>
      </c>
      <c r="F44" s="7" t="s">
        <v>744</v>
      </c>
      <c r="G44" s="7" t="s">
        <v>372</v>
      </c>
      <c r="H44" s="7" t="s">
        <v>750</v>
      </c>
      <c r="I44" s="15"/>
      <c r="J44" s="7" t="s">
        <v>746</v>
      </c>
      <c r="K44" s="16"/>
      <c r="L44" s="17" t="str">
        <f aca="false">IF(K44="","",K44-N(I44))</f>
        <v/>
      </c>
    </row>
    <row r="45" customFormat="false" ht="15" hidden="false" customHeight="false" outlineLevel="0" collapsed="false">
      <c r="A45" s="7" t="n">
        <v>5766</v>
      </c>
      <c r="B45" s="7" t="s">
        <v>75</v>
      </c>
      <c r="C45" s="7" t="s">
        <v>152</v>
      </c>
      <c r="D45" s="7" t="s">
        <v>77</v>
      </c>
      <c r="E45" s="7" t="n">
        <v>2</v>
      </c>
      <c r="F45" s="7" t="s">
        <v>747</v>
      </c>
      <c r="G45" s="7" t="s">
        <v>372</v>
      </c>
      <c r="H45" s="7" t="s">
        <v>770</v>
      </c>
      <c r="I45" s="15" t="n">
        <v>351.7</v>
      </c>
      <c r="J45" s="7" t="s">
        <v>749</v>
      </c>
      <c r="K45" s="16"/>
      <c r="L45" s="17" t="str">
        <f aca="false">IF(K45="","",K45-N(I45))</f>
        <v/>
      </c>
    </row>
    <row r="46" customFormat="false" ht="15" hidden="false" customHeight="false" outlineLevel="0" collapsed="false">
      <c r="A46" s="7" t="n">
        <v>5766</v>
      </c>
      <c r="B46" s="7" t="s">
        <v>75</v>
      </c>
      <c r="C46" s="7" t="s">
        <v>152</v>
      </c>
      <c r="D46" s="7" t="s">
        <v>77</v>
      </c>
      <c r="E46" s="7" t="n">
        <v>3</v>
      </c>
      <c r="F46" s="7" t="s">
        <v>740</v>
      </c>
      <c r="G46" s="7" t="s">
        <v>382</v>
      </c>
      <c r="H46" s="7" t="s">
        <v>750</v>
      </c>
      <c r="I46" s="15" t="n">
        <v>351.6</v>
      </c>
      <c r="J46" s="7" t="s">
        <v>751</v>
      </c>
      <c r="K46" s="16"/>
      <c r="L46" s="17" t="str">
        <f aca="false">IF(K46="","",K46-N(I46))</f>
        <v/>
      </c>
    </row>
    <row r="47" customFormat="false" ht="15" hidden="false" customHeight="false" outlineLevel="0" collapsed="false">
      <c r="A47" s="7" t="n">
        <v>5767</v>
      </c>
      <c r="B47" s="7" t="s">
        <v>61</v>
      </c>
      <c r="C47" s="7" t="s">
        <v>156</v>
      </c>
      <c r="D47" s="7" t="s">
        <v>79</v>
      </c>
      <c r="E47" s="7" t="n">
        <v>1</v>
      </c>
      <c r="F47" s="7" t="s">
        <v>744</v>
      </c>
      <c r="G47" s="7" t="s">
        <v>313</v>
      </c>
      <c r="H47" s="7" t="s">
        <v>750</v>
      </c>
      <c r="I47" s="15"/>
      <c r="J47" s="7" t="s">
        <v>746</v>
      </c>
      <c r="K47" s="16"/>
      <c r="L47" s="17" t="str">
        <f aca="false">IF(K47="","",K47-N(I47))</f>
        <v/>
      </c>
    </row>
    <row r="48" customFormat="false" ht="15" hidden="false" customHeight="false" outlineLevel="0" collapsed="false">
      <c r="A48" s="7" t="n">
        <v>5767</v>
      </c>
      <c r="B48" s="7" t="s">
        <v>61</v>
      </c>
      <c r="C48" s="7" t="s">
        <v>156</v>
      </c>
      <c r="D48" s="7" t="s">
        <v>79</v>
      </c>
      <c r="E48" s="7" t="n">
        <v>2</v>
      </c>
      <c r="F48" s="7" t="s">
        <v>747</v>
      </c>
      <c r="G48" s="7" t="s">
        <v>316</v>
      </c>
      <c r="H48" s="7" t="s">
        <v>758</v>
      </c>
      <c r="I48" s="15" t="n">
        <v>1420.5</v>
      </c>
      <c r="J48" s="7" t="s">
        <v>749</v>
      </c>
      <c r="K48" s="16"/>
      <c r="L48" s="17" t="str">
        <f aca="false">IF(K48="","",K48-N(I48))</f>
        <v/>
      </c>
    </row>
    <row r="49" customFormat="false" ht="15" hidden="false" customHeight="false" outlineLevel="0" collapsed="false">
      <c r="A49" s="7" t="n">
        <v>5767</v>
      </c>
      <c r="B49" s="7" t="s">
        <v>61</v>
      </c>
      <c r="C49" s="7" t="s">
        <v>157</v>
      </c>
      <c r="D49" s="7" t="s">
        <v>79</v>
      </c>
      <c r="E49" s="7" t="n">
        <v>1</v>
      </c>
      <c r="F49" s="7" t="s">
        <v>740</v>
      </c>
      <c r="G49" s="7" t="s">
        <v>316</v>
      </c>
      <c r="H49" s="7" t="s">
        <v>758</v>
      </c>
      <c r="I49" s="15"/>
      <c r="J49" s="7" t="s">
        <v>743</v>
      </c>
      <c r="K49" s="16"/>
      <c r="L49" s="17" t="str">
        <f aca="false">IF(K49="","",K49-N(I49))</f>
        <v/>
      </c>
    </row>
    <row r="50" customFormat="false" ht="15" hidden="false" customHeight="false" outlineLevel="0" collapsed="false">
      <c r="A50" s="7" t="n">
        <v>5767</v>
      </c>
      <c r="B50" s="7" t="s">
        <v>61</v>
      </c>
      <c r="C50" s="7" t="s">
        <v>157</v>
      </c>
      <c r="D50" s="7" t="s">
        <v>79</v>
      </c>
      <c r="E50" s="7" t="n">
        <v>2</v>
      </c>
      <c r="F50" s="7" t="s">
        <v>744</v>
      </c>
      <c r="G50" s="7" t="s">
        <v>316</v>
      </c>
      <c r="H50" s="7" t="s">
        <v>771</v>
      </c>
      <c r="I50" s="15" t="n">
        <v>85.9</v>
      </c>
      <c r="J50" s="7" t="s">
        <v>746</v>
      </c>
      <c r="K50" s="16"/>
      <c r="L50" s="17" t="str">
        <f aca="false">IF(K50="","",K50-N(I50))</f>
        <v/>
      </c>
    </row>
    <row r="51" customFormat="false" ht="15" hidden="false" customHeight="false" outlineLevel="0" collapsed="false">
      <c r="A51" s="7" t="n">
        <v>5767</v>
      </c>
      <c r="B51" s="7" t="s">
        <v>61</v>
      </c>
      <c r="C51" s="7" t="s">
        <v>157</v>
      </c>
      <c r="D51" s="7" t="s">
        <v>79</v>
      </c>
      <c r="E51" s="7" t="n">
        <v>3</v>
      </c>
      <c r="F51" s="7" t="s">
        <v>747</v>
      </c>
      <c r="G51" s="7" t="s">
        <v>382</v>
      </c>
      <c r="H51" s="7" t="s">
        <v>772</v>
      </c>
      <c r="I51" s="15" t="n">
        <v>1130.4</v>
      </c>
      <c r="J51" s="7" t="s">
        <v>749</v>
      </c>
      <c r="K51" s="16"/>
      <c r="L51" s="17" t="str">
        <f aca="false">IF(K51="","",K51-N(I51))</f>
        <v/>
      </c>
    </row>
    <row r="52" customFormat="false" ht="15" hidden="false" customHeight="false" outlineLevel="0" collapsed="false">
      <c r="A52" s="7" t="n">
        <v>5767</v>
      </c>
      <c r="B52" s="7" t="s">
        <v>61</v>
      </c>
      <c r="C52" s="7" t="s">
        <v>157</v>
      </c>
      <c r="D52" s="7" t="s">
        <v>79</v>
      </c>
      <c r="E52" s="7" t="n">
        <v>4</v>
      </c>
      <c r="F52" s="7" t="s">
        <v>740</v>
      </c>
      <c r="G52" s="7" t="s">
        <v>394</v>
      </c>
      <c r="H52" s="7" t="s">
        <v>750</v>
      </c>
      <c r="I52" s="15" t="n">
        <v>403.2</v>
      </c>
      <c r="J52" s="7" t="s">
        <v>751</v>
      </c>
      <c r="K52" s="16"/>
      <c r="L52" s="17" t="str">
        <f aca="false">IF(K52="","",K52-N(I52))</f>
        <v/>
      </c>
    </row>
    <row r="53" customFormat="false" ht="15" hidden="false" customHeight="false" outlineLevel="0" collapsed="false">
      <c r="A53" s="7" t="n">
        <v>5768</v>
      </c>
      <c r="B53" s="7" t="s">
        <v>61</v>
      </c>
      <c r="C53" s="7" t="s">
        <v>160</v>
      </c>
      <c r="D53" s="7" t="s">
        <v>81</v>
      </c>
      <c r="E53" s="7" t="n">
        <v>1</v>
      </c>
      <c r="F53" s="7" t="s">
        <v>744</v>
      </c>
      <c r="G53" s="7" t="s">
        <v>313</v>
      </c>
      <c r="H53" s="7" t="s">
        <v>773</v>
      </c>
      <c r="I53" s="15"/>
      <c r="J53" s="7" t="s">
        <v>746</v>
      </c>
      <c r="K53" s="16"/>
      <c r="L53" s="17" t="str">
        <f aca="false">IF(K53="","",K53-N(I53))</f>
        <v/>
      </c>
    </row>
    <row r="54" customFormat="false" ht="15" hidden="false" customHeight="false" outlineLevel="0" collapsed="false">
      <c r="A54" s="7" t="n">
        <v>5768</v>
      </c>
      <c r="B54" s="7" t="s">
        <v>61</v>
      </c>
      <c r="C54" s="7" t="s">
        <v>160</v>
      </c>
      <c r="D54" s="7" t="s">
        <v>81</v>
      </c>
      <c r="E54" s="7" t="n">
        <v>2</v>
      </c>
      <c r="F54" s="7" t="s">
        <v>747</v>
      </c>
      <c r="G54" s="7" t="s">
        <v>316</v>
      </c>
      <c r="H54" s="7" t="s">
        <v>774</v>
      </c>
      <c r="I54" s="15" t="n">
        <v>1221.3</v>
      </c>
      <c r="J54" s="7" t="s">
        <v>749</v>
      </c>
      <c r="K54" s="16"/>
      <c r="L54" s="17" t="str">
        <f aca="false">IF(K54="","",K54-N(I54))</f>
        <v/>
      </c>
    </row>
    <row r="55" customFormat="false" ht="15" hidden="false" customHeight="false" outlineLevel="0" collapsed="false">
      <c r="A55" s="7" t="n">
        <v>5768</v>
      </c>
      <c r="B55" s="7" t="s">
        <v>61</v>
      </c>
      <c r="C55" s="7" t="s">
        <v>160</v>
      </c>
      <c r="D55" s="7" t="s">
        <v>81</v>
      </c>
      <c r="E55" s="7" t="n">
        <v>3</v>
      </c>
      <c r="F55" s="7" t="s">
        <v>747</v>
      </c>
      <c r="G55" s="7" t="s">
        <v>316</v>
      </c>
      <c r="H55" s="7" t="s">
        <v>775</v>
      </c>
      <c r="I55" s="15" t="n">
        <v>28.6</v>
      </c>
      <c r="J55" s="7" t="s">
        <v>749</v>
      </c>
      <c r="K55" s="16"/>
      <c r="L55" s="17" t="str">
        <f aca="false">IF(K55="","",K55-N(I55))</f>
        <v/>
      </c>
    </row>
    <row r="56" customFormat="false" ht="15" hidden="false" customHeight="false" outlineLevel="0" collapsed="false">
      <c r="A56" s="7" t="n">
        <v>5768</v>
      </c>
      <c r="B56" s="7" t="s">
        <v>61</v>
      </c>
      <c r="C56" s="7" t="s">
        <v>162</v>
      </c>
      <c r="D56" s="7" t="s">
        <v>81</v>
      </c>
      <c r="E56" s="7" t="n">
        <v>1</v>
      </c>
      <c r="F56" s="7" t="s">
        <v>740</v>
      </c>
      <c r="G56" s="7" t="s">
        <v>316</v>
      </c>
      <c r="H56" s="7" t="s">
        <v>775</v>
      </c>
      <c r="I56" s="15"/>
      <c r="J56" s="7" t="s">
        <v>743</v>
      </c>
      <c r="K56" s="16"/>
      <c r="L56" s="17" t="str">
        <f aca="false">IF(K56="","",K56-N(I56))</f>
        <v/>
      </c>
    </row>
    <row r="57" customFormat="false" ht="15" hidden="false" customHeight="false" outlineLevel="0" collapsed="false">
      <c r="A57" s="7" t="n">
        <v>5768</v>
      </c>
      <c r="B57" s="7" t="s">
        <v>61</v>
      </c>
      <c r="C57" s="7" t="s">
        <v>162</v>
      </c>
      <c r="D57" s="7" t="s">
        <v>81</v>
      </c>
      <c r="E57" s="7" t="n">
        <v>2</v>
      </c>
      <c r="F57" s="7" t="s">
        <v>744</v>
      </c>
      <c r="G57" s="7" t="s">
        <v>316</v>
      </c>
      <c r="H57" s="7" t="s">
        <v>776</v>
      </c>
      <c r="I57" s="15" t="n">
        <v>166.8</v>
      </c>
      <c r="J57" s="7" t="s">
        <v>746</v>
      </c>
      <c r="K57" s="16"/>
      <c r="L57" s="17" t="str">
        <f aca="false">IF(K57="","",K57-N(I57))</f>
        <v/>
      </c>
    </row>
    <row r="58" customFormat="false" ht="15" hidden="false" customHeight="false" outlineLevel="0" collapsed="false">
      <c r="A58" s="7" t="n">
        <v>5768</v>
      </c>
      <c r="B58" s="7" t="s">
        <v>61</v>
      </c>
      <c r="C58" s="7" t="s">
        <v>162</v>
      </c>
      <c r="D58" s="7" t="s">
        <v>81</v>
      </c>
      <c r="E58" s="7" t="n">
        <v>3</v>
      </c>
      <c r="F58" s="7" t="s">
        <v>747</v>
      </c>
      <c r="G58" s="7" t="s">
        <v>394</v>
      </c>
      <c r="H58" s="7" t="s">
        <v>777</v>
      </c>
      <c r="I58" s="15" t="n">
        <v>1312.4</v>
      </c>
      <c r="J58" s="7" t="s">
        <v>749</v>
      </c>
      <c r="K58" s="16"/>
      <c r="L58" s="17" t="str">
        <f aca="false">IF(K58="","",K58-N(I58))</f>
        <v/>
      </c>
    </row>
    <row r="59" customFormat="false" ht="15" hidden="false" customHeight="false" outlineLevel="0" collapsed="false">
      <c r="A59" s="7" t="n">
        <v>5768</v>
      </c>
      <c r="B59" s="7" t="s">
        <v>61</v>
      </c>
      <c r="C59" s="7" t="s">
        <v>162</v>
      </c>
      <c r="D59" s="7" t="s">
        <v>81</v>
      </c>
      <c r="E59" s="7" t="n">
        <v>4</v>
      </c>
      <c r="F59" s="7" t="s">
        <v>747</v>
      </c>
      <c r="G59" s="7" t="s">
        <v>394</v>
      </c>
      <c r="H59" s="7" t="s">
        <v>778</v>
      </c>
      <c r="I59" s="15"/>
      <c r="J59" s="7" t="s">
        <v>749</v>
      </c>
      <c r="K59" s="16"/>
      <c r="L59" s="17" t="str">
        <f aca="false">IF(K59="","",K59-N(I59))</f>
        <v/>
      </c>
    </row>
    <row r="60" customFormat="false" ht="15" hidden="false" customHeight="false" outlineLevel="0" collapsed="false">
      <c r="A60" s="7" t="n">
        <v>5769</v>
      </c>
      <c r="B60" s="7" t="s">
        <v>61</v>
      </c>
      <c r="C60" s="7" t="s">
        <v>163</v>
      </c>
      <c r="D60" s="7" t="s">
        <v>83</v>
      </c>
      <c r="E60" s="7" t="n">
        <v>1</v>
      </c>
      <c r="F60" s="7" t="s">
        <v>744</v>
      </c>
      <c r="G60" s="7" t="s">
        <v>316</v>
      </c>
      <c r="H60" s="7" t="s">
        <v>779</v>
      </c>
      <c r="I60" s="15"/>
      <c r="J60" s="7" t="s">
        <v>746</v>
      </c>
      <c r="K60" s="16"/>
      <c r="L60" s="17" t="str">
        <f aca="false">IF(K60="","",K60-N(I60))</f>
        <v/>
      </c>
    </row>
    <row r="61" customFormat="false" ht="15" hidden="false" customHeight="false" outlineLevel="0" collapsed="false">
      <c r="A61" s="7" t="n">
        <v>5769</v>
      </c>
      <c r="B61" s="7" t="s">
        <v>61</v>
      </c>
      <c r="C61" s="7" t="s">
        <v>163</v>
      </c>
      <c r="D61" s="7" t="s">
        <v>83</v>
      </c>
      <c r="E61" s="7" t="n">
        <v>2</v>
      </c>
      <c r="F61" s="7" t="s">
        <v>747</v>
      </c>
      <c r="G61" s="7" t="s">
        <v>382</v>
      </c>
      <c r="H61" s="7" t="s">
        <v>780</v>
      </c>
      <c r="I61" s="15" t="n">
        <v>1263.9</v>
      </c>
      <c r="J61" s="7" t="s">
        <v>749</v>
      </c>
      <c r="K61" s="16"/>
      <c r="L61" s="17" t="str">
        <f aca="false">IF(K61="","",K61-N(I61))</f>
        <v/>
      </c>
    </row>
    <row r="62" customFormat="false" ht="15" hidden="false" customHeight="false" outlineLevel="0" collapsed="false">
      <c r="A62" s="7" t="n">
        <v>5769</v>
      </c>
      <c r="B62" s="7" t="s">
        <v>61</v>
      </c>
      <c r="C62" s="7" t="s">
        <v>166</v>
      </c>
      <c r="D62" s="7" t="s">
        <v>83</v>
      </c>
      <c r="E62" s="7" t="n">
        <v>1</v>
      </c>
      <c r="F62" s="7" t="s">
        <v>740</v>
      </c>
      <c r="G62" s="7" t="s">
        <v>382</v>
      </c>
      <c r="H62" s="7" t="s">
        <v>780</v>
      </c>
      <c r="I62" s="15"/>
      <c r="J62" s="7" t="s">
        <v>743</v>
      </c>
      <c r="K62" s="16"/>
      <c r="L62" s="17" t="str">
        <f aca="false">IF(K62="","",K62-N(I62))</f>
        <v/>
      </c>
    </row>
    <row r="63" customFormat="false" ht="15" hidden="false" customHeight="false" outlineLevel="0" collapsed="false">
      <c r="A63" s="7" t="n">
        <v>5769</v>
      </c>
      <c r="B63" s="7" t="s">
        <v>61</v>
      </c>
      <c r="C63" s="7" t="s">
        <v>166</v>
      </c>
      <c r="D63" s="7" t="s">
        <v>83</v>
      </c>
      <c r="E63" s="7" t="n">
        <v>2</v>
      </c>
      <c r="F63" s="7" t="s">
        <v>744</v>
      </c>
      <c r="G63" s="7" t="s">
        <v>397</v>
      </c>
      <c r="H63" s="7" t="s">
        <v>781</v>
      </c>
      <c r="I63" s="15" t="n">
        <v>19.9</v>
      </c>
      <c r="J63" s="7" t="s">
        <v>746</v>
      </c>
      <c r="K63" s="16"/>
      <c r="L63" s="17" t="str">
        <f aca="false">IF(K63="","",K63-N(I63))</f>
        <v/>
      </c>
    </row>
    <row r="64" customFormat="false" ht="15" hidden="false" customHeight="false" outlineLevel="0" collapsed="false">
      <c r="A64" s="7" t="n">
        <v>5769</v>
      </c>
      <c r="B64" s="7" t="s">
        <v>61</v>
      </c>
      <c r="C64" s="7" t="s">
        <v>166</v>
      </c>
      <c r="D64" s="7" t="s">
        <v>83</v>
      </c>
      <c r="E64" s="7" t="n">
        <v>3</v>
      </c>
      <c r="F64" s="7" t="s">
        <v>747</v>
      </c>
      <c r="G64" s="7" t="s">
        <v>406</v>
      </c>
      <c r="H64" s="7" t="s">
        <v>782</v>
      </c>
      <c r="I64" s="15" t="n">
        <v>1284</v>
      </c>
      <c r="J64" s="7" t="s">
        <v>749</v>
      </c>
      <c r="K64" s="16"/>
      <c r="L64" s="17" t="str">
        <f aca="false">IF(K64="","",K64-N(I64))</f>
        <v/>
      </c>
    </row>
    <row r="65" customFormat="false" ht="15" hidden="false" customHeight="false" outlineLevel="0" collapsed="false">
      <c r="A65" s="7" t="n">
        <v>5770</v>
      </c>
      <c r="B65" s="7" t="s">
        <v>61</v>
      </c>
      <c r="C65" s="7" t="s">
        <v>168</v>
      </c>
      <c r="D65" s="7" t="s">
        <v>74</v>
      </c>
      <c r="E65" s="7" t="n">
        <v>1</v>
      </c>
      <c r="F65" s="7" t="s">
        <v>744</v>
      </c>
      <c r="G65" s="7" t="s">
        <v>372</v>
      </c>
      <c r="H65" s="7" t="s">
        <v>750</v>
      </c>
      <c r="I65" s="15"/>
      <c r="J65" s="7" t="s">
        <v>746</v>
      </c>
      <c r="K65" s="16"/>
      <c r="L65" s="17" t="str">
        <f aca="false">IF(K65="","",K65-N(I65))</f>
        <v/>
      </c>
    </row>
    <row r="66" customFormat="false" ht="15" hidden="false" customHeight="false" outlineLevel="0" collapsed="false">
      <c r="A66" s="7" t="n">
        <v>5770</v>
      </c>
      <c r="B66" s="7" t="s">
        <v>61</v>
      </c>
      <c r="C66" s="7" t="s">
        <v>168</v>
      </c>
      <c r="D66" s="7" t="s">
        <v>74</v>
      </c>
      <c r="E66" s="7" t="n">
        <v>2</v>
      </c>
      <c r="F66" s="7" t="s">
        <v>747</v>
      </c>
      <c r="G66" s="7" t="s">
        <v>397</v>
      </c>
      <c r="H66" s="7" t="s">
        <v>742</v>
      </c>
      <c r="I66" s="15" t="n">
        <v>1894.3</v>
      </c>
      <c r="J66" s="7" t="s">
        <v>749</v>
      </c>
      <c r="K66" s="16"/>
      <c r="L66" s="17" t="str">
        <f aca="false">IF(K66="","",K66-N(I66))</f>
        <v/>
      </c>
    </row>
    <row r="67" customFormat="false" ht="15" hidden="false" customHeight="false" outlineLevel="0" collapsed="false">
      <c r="A67" s="7" t="n">
        <v>5770</v>
      </c>
      <c r="B67" s="7" t="s">
        <v>61</v>
      </c>
      <c r="C67" s="7" t="s">
        <v>170</v>
      </c>
      <c r="D67" s="7" t="s">
        <v>74</v>
      </c>
      <c r="E67" s="7" t="n">
        <v>1</v>
      </c>
      <c r="F67" s="7" t="s">
        <v>740</v>
      </c>
      <c r="G67" s="7" t="s">
        <v>397</v>
      </c>
      <c r="H67" s="7" t="s">
        <v>742</v>
      </c>
      <c r="I67" s="15"/>
      <c r="J67" s="7" t="s">
        <v>743</v>
      </c>
      <c r="K67" s="16"/>
      <c r="L67" s="17" t="str">
        <f aca="false">IF(K67="","",K67-N(I67))</f>
        <v/>
      </c>
    </row>
    <row r="68" customFormat="false" ht="15" hidden="false" customHeight="false" outlineLevel="0" collapsed="false">
      <c r="A68" s="7" t="n">
        <v>5770</v>
      </c>
      <c r="B68" s="7" t="s">
        <v>61</v>
      </c>
      <c r="C68" s="7" t="s">
        <v>170</v>
      </c>
      <c r="D68" s="7" t="s">
        <v>74</v>
      </c>
      <c r="E68" s="7" t="n">
        <v>2</v>
      </c>
      <c r="F68" s="7" t="s">
        <v>744</v>
      </c>
      <c r="G68" s="7" t="s">
        <v>397</v>
      </c>
      <c r="H68" s="7" t="s">
        <v>783</v>
      </c>
      <c r="I68" s="15" t="n">
        <v>107.4</v>
      </c>
      <c r="J68" s="7" t="s">
        <v>746</v>
      </c>
      <c r="K68" s="16"/>
      <c r="L68" s="17" t="str">
        <f aca="false">IF(K68="","",K68-N(I68))</f>
        <v/>
      </c>
    </row>
    <row r="69" customFormat="false" ht="15" hidden="false" customHeight="false" outlineLevel="0" collapsed="false">
      <c r="A69" s="7" t="n">
        <v>5770</v>
      </c>
      <c r="B69" s="7" t="s">
        <v>61</v>
      </c>
      <c r="C69" s="7" t="s">
        <v>170</v>
      </c>
      <c r="D69" s="7" t="s">
        <v>74</v>
      </c>
      <c r="E69" s="7" t="n">
        <v>3</v>
      </c>
      <c r="F69" s="7" t="s">
        <v>747</v>
      </c>
      <c r="G69" s="7" t="s">
        <v>406</v>
      </c>
      <c r="H69" s="7" t="s">
        <v>784</v>
      </c>
      <c r="I69" s="15" t="n">
        <v>1813.3</v>
      </c>
      <c r="J69" s="7" t="s">
        <v>749</v>
      </c>
      <c r="K69" s="16"/>
      <c r="L69" s="17" t="str">
        <f aca="false">IF(K69="","",K69-N(I69))</f>
        <v/>
      </c>
    </row>
    <row r="70" customFormat="false" ht="15" hidden="false" customHeight="false" outlineLevel="0" collapsed="false">
      <c r="A70" s="7" t="n">
        <v>5771</v>
      </c>
      <c r="B70" s="7" t="s">
        <v>61</v>
      </c>
      <c r="C70" s="7" t="s">
        <v>172</v>
      </c>
      <c r="D70" s="7" t="s">
        <v>84</v>
      </c>
      <c r="E70" s="7" t="n">
        <v>1</v>
      </c>
      <c r="F70" s="7" t="s">
        <v>744</v>
      </c>
      <c r="G70" s="7" t="s">
        <v>372</v>
      </c>
      <c r="H70" s="7" t="s">
        <v>752</v>
      </c>
      <c r="I70" s="15"/>
      <c r="J70" s="7" t="s">
        <v>746</v>
      </c>
      <c r="K70" s="16"/>
      <c r="L70" s="17" t="str">
        <f aca="false">IF(K70="","",K70-N(I70))</f>
        <v/>
      </c>
    </row>
    <row r="71" customFormat="false" ht="15" hidden="false" customHeight="false" outlineLevel="0" collapsed="false">
      <c r="A71" s="7" t="n">
        <v>5771</v>
      </c>
      <c r="B71" s="7" t="s">
        <v>61</v>
      </c>
      <c r="C71" s="7" t="s">
        <v>172</v>
      </c>
      <c r="D71" s="7" t="s">
        <v>84</v>
      </c>
      <c r="E71" s="7" t="n">
        <v>2</v>
      </c>
      <c r="F71" s="7" t="s">
        <v>747</v>
      </c>
      <c r="G71" s="7" t="s">
        <v>397</v>
      </c>
      <c r="H71" s="7" t="s">
        <v>742</v>
      </c>
      <c r="I71" s="15" t="n">
        <v>1890.2</v>
      </c>
      <c r="J71" s="7" t="s">
        <v>749</v>
      </c>
      <c r="K71" s="16"/>
      <c r="L71" s="17" t="str">
        <f aca="false">IF(K71="","",K71-N(I71))</f>
        <v/>
      </c>
    </row>
    <row r="72" customFormat="false" ht="15" hidden="false" customHeight="false" outlineLevel="0" collapsed="false">
      <c r="A72" s="7" t="n">
        <v>5771</v>
      </c>
      <c r="B72" s="7" t="s">
        <v>61</v>
      </c>
      <c r="C72" s="7" t="s">
        <v>173</v>
      </c>
      <c r="D72" s="7" t="s">
        <v>84</v>
      </c>
      <c r="E72" s="7" t="n">
        <v>1</v>
      </c>
      <c r="F72" s="7" t="s">
        <v>740</v>
      </c>
      <c r="G72" s="7" t="s">
        <v>397</v>
      </c>
      <c r="H72" s="7" t="s">
        <v>742</v>
      </c>
      <c r="I72" s="15"/>
      <c r="J72" s="7" t="s">
        <v>743</v>
      </c>
      <c r="K72" s="16"/>
      <c r="L72" s="17" t="str">
        <f aca="false">IF(K72="","",K72-N(I72))</f>
        <v/>
      </c>
    </row>
    <row r="73" customFormat="false" ht="15" hidden="false" customHeight="false" outlineLevel="0" collapsed="false">
      <c r="A73" s="7" t="n">
        <v>5771</v>
      </c>
      <c r="B73" s="7" t="s">
        <v>61</v>
      </c>
      <c r="C73" s="7" t="s">
        <v>173</v>
      </c>
      <c r="D73" s="7" t="s">
        <v>84</v>
      </c>
      <c r="E73" s="7" t="n">
        <v>2</v>
      </c>
      <c r="F73" s="7" t="s">
        <v>744</v>
      </c>
      <c r="G73" s="7" t="s">
        <v>397</v>
      </c>
      <c r="H73" s="7" t="s">
        <v>785</v>
      </c>
      <c r="I73" s="15" t="n">
        <v>12.3</v>
      </c>
      <c r="J73" s="7" t="s">
        <v>746</v>
      </c>
      <c r="K73" s="16"/>
      <c r="L73" s="17" t="str">
        <f aca="false">IF(K73="","",K73-N(I73))</f>
        <v/>
      </c>
    </row>
    <row r="74" customFormat="false" ht="15" hidden="false" customHeight="false" outlineLevel="0" collapsed="false">
      <c r="A74" s="7" t="n">
        <v>5771</v>
      </c>
      <c r="B74" s="7" t="s">
        <v>61</v>
      </c>
      <c r="C74" s="7" t="s">
        <v>173</v>
      </c>
      <c r="D74" s="7" t="s">
        <v>84</v>
      </c>
      <c r="E74" s="7" t="n">
        <v>3</v>
      </c>
      <c r="F74" s="7" t="s">
        <v>747</v>
      </c>
      <c r="G74" s="7" t="s">
        <v>406</v>
      </c>
      <c r="H74" s="7" t="s">
        <v>786</v>
      </c>
      <c r="I74" s="15" t="n">
        <v>1574.8</v>
      </c>
      <c r="J74" s="7" t="s">
        <v>749</v>
      </c>
      <c r="K74" s="16"/>
      <c r="L74" s="17" t="str">
        <f aca="false">IF(K74="","",K74-N(I74))</f>
        <v/>
      </c>
    </row>
    <row r="75" customFormat="false" ht="15" hidden="false" customHeight="false" outlineLevel="0" collapsed="false">
      <c r="A75" s="7" t="n">
        <v>5771</v>
      </c>
      <c r="B75" s="7" t="s">
        <v>61</v>
      </c>
      <c r="C75" s="7" t="s">
        <v>173</v>
      </c>
      <c r="D75" s="7" t="s">
        <v>84</v>
      </c>
      <c r="E75" s="7" t="n">
        <v>4</v>
      </c>
      <c r="F75" s="7" t="s">
        <v>740</v>
      </c>
      <c r="G75" s="7" t="s">
        <v>422</v>
      </c>
      <c r="H75" s="7" t="s">
        <v>750</v>
      </c>
      <c r="I75" s="15" t="n">
        <v>340.9</v>
      </c>
      <c r="J75" s="7" t="s">
        <v>751</v>
      </c>
      <c r="K75" s="16"/>
      <c r="L75" s="17" t="str">
        <f aca="false">IF(K75="","",K75-N(I75))</f>
        <v/>
      </c>
    </row>
    <row r="76" customFormat="false" ht="15" hidden="false" customHeight="false" outlineLevel="0" collapsed="false">
      <c r="A76" s="7" t="n">
        <v>5772</v>
      </c>
      <c r="B76" s="7" t="s">
        <v>75</v>
      </c>
      <c r="C76" s="7" t="s">
        <v>175</v>
      </c>
      <c r="D76" s="7" t="s">
        <v>86</v>
      </c>
      <c r="E76" s="7" t="n">
        <v>1</v>
      </c>
      <c r="F76" s="7" t="s">
        <v>744</v>
      </c>
      <c r="G76" s="7" t="s">
        <v>316</v>
      </c>
      <c r="H76" s="7" t="s">
        <v>779</v>
      </c>
      <c r="I76" s="15"/>
      <c r="J76" s="7" t="s">
        <v>746</v>
      </c>
      <c r="K76" s="16"/>
      <c r="L76" s="17" t="str">
        <f aca="false">IF(K76="","",K76-N(I76))</f>
        <v/>
      </c>
    </row>
    <row r="77" customFormat="false" ht="15" hidden="false" customHeight="false" outlineLevel="0" collapsed="false">
      <c r="A77" s="7" t="n">
        <v>5772</v>
      </c>
      <c r="B77" s="7" t="s">
        <v>75</v>
      </c>
      <c r="C77" s="7" t="s">
        <v>175</v>
      </c>
      <c r="D77" s="7" t="s">
        <v>86</v>
      </c>
      <c r="E77" s="7" t="n">
        <v>2</v>
      </c>
      <c r="F77" s="7" t="s">
        <v>747</v>
      </c>
      <c r="G77" s="7" t="s">
        <v>382</v>
      </c>
      <c r="H77" s="7" t="s">
        <v>787</v>
      </c>
      <c r="I77" s="15" t="n">
        <v>1079.7</v>
      </c>
      <c r="J77" s="7" t="s">
        <v>749</v>
      </c>
      <c r="K77" s="16"/>
      <c r="L77" s="17" t="str">
        <f aca="false">IF(K77="","",K77-N(I77))</f>
        <v/>
      </c>
    </row>
    <row r="78" customFormat="false" ht="15" hidden="false" customHeight="false" outlineLevel="0" collapsed="false">
      <c r="A78" s="7" t="n">
        <v>5772</v>
      </c>
      <c r="B78" s="7" t="s">
        <v>75</v>
      </c>
      <c r="C78" s="7" t="s">
        <v>177</v>
      </c>
      <c r="D78" s="7" t="s">
        <v>86</v>
      </c>
      <c r="E78" s="7" t="n">
        <v>1</v>
      </c>
      <c r="F78" s="7" t="s">
        <v>740</v>
      </c>
      <c r="G78" s="7" t="s">
        <v>382</v>
      </c>
      <c r="H78" s="7" t="s">
        <v>787</v>
      </c>
      <c r="I78" s="15"/>
      <c r="J78" s="7" t="s">
        <v>743</v>
      </c>
      <c r="K78" s="16"/>
      <c r="L78" s="17" t="str">
        <f aca="false">IF(K78="","",K78-N(I78))</f>
        <v/>
      </c>
    </row>
    <row r="79" customFormat="false" ht="15" hidden="false" customHeight="false" outlineLevel="0" collapsed="false">
      <c r="A79" s="7" t="n">
        <v>5772</v>
      </c>
      <c r="B79" s="7" t="s">
        <v>75</v>
      </c>
      <c r="C79" s="7" t="s">
        <v>177</v>
      </c>
      <c r="D79" s="7" t="s">
        <v>86</v>
      </c>
      <c r="E79" s="7" t="n">
        <v>2</v>
      </c>
      <c r="F79" s="7" t="s">
        <v>744</v>
      </c>
      <c r="G79" s="7" t="s">
        <v>394</v>
      </c>
      <c r="H79" s="7" t="s">
        <v>788</v>
      </c>
      <c r="I79" s="15" t="n">
        <v>93.7</v>
      </c>
      <c r="J79" s="7" t="s">
        <v>746</v>
      </c>
      <c r="K79" s="16"/>
      <c r="L79" s="17" t="str">
        <f aca="false">IF(K79="","",K79-N(I79))</f>
        <v/>
      </c>
    </row>
    <row r="80" customFormat="false" ht="15" hidden="false" customHeight="false" outlineLevel="0" collapsed="false">
      <c r="A80" s="7" t="n">
        <v>5772</v>
      </c>
      <c r="B80" s="7" t="s">
        <v>75</v>
      </c>
      <c r="C80" s="7" t="s">
        <v>177</v>
      </c>
      <c r="D80" s="7" t="s">
        <v>86</v>
      </c>
      <c r="E80" s="7" t="n">
        <v>3</v>
      </c>
      <c r="F80" s="7" t="s">
        <v>747</v>
      </c>
      <c r="G80" s="7" t="s">
        <v>397</v>
      </c>
      <c r="H80" s="7" t="s">
        <v>789</v>
      </c>
      <c r="I80" s="15" t="n">
        <v>414.2</v>
      </c>
      <c r="J80" s="7" t="s">
        <v>749</v>
      </c>
      <c r="K80" s="16"/>
      <c r="L80" s="17" t="str">
        <f aca="false">IF(K80="","",K80-N(I80))</f>
        <v/>
      </c>
    </row>
    <row r="81" customFormat="false" ht="15" hidden="false" customHeight="false" outlineLevel="0" collapsed="false">
      <c r="A81" s="7" t="n">
        <v>5772</v>
      </c>
      <c r="B81" s="7" t="s">
        <v>75</v>
      </c>
      <c r="C81" s="7" t="s">
        <v>179</v>
      </c>
      <c r="D81" s="7" t="s">
        <v>86</v>
      </c>
      <c r="E81" s="7" t="n">
        <v>1</v>
      </c>
      <c r="F81" s="7" t="s">
        <v>740</v>
      </c>
      <c r="G81" s="7" t="s">
        <v>397</v>
      </c>
      <c r="H81" s="7" t="s">
        <v>789</v>
      </c>
      <c r="I81" s="15"/>
      <c r="J81" s="7" t="s">
        <v>743</v>
      </c>
      <c r="K81" s="16"/>
      <c r="L81" s="17" t="str">
        <f aca="false">IF(K81="","",K81-N(I81))</f>
        <v/>
      </c>
    </row>
    <row r="82" customFormat="false" ht="15" hidden="false" customHeight="false" outlineLevel="0" collapsed="false">
      <c r="A82" s="7" t="n">
        <v>5772</v>
      </c>
      <c r="B82" s="7" t="s">
        <v>75</v>
      </c>
      <c r="C82" s="7" t="s">
        <v>179</v>
      </c>
      <c r="D82" s="7" t="s">
        <v>86</v>
      </c>
      <c r="E82" s="7" t="n">
        <v>2</v>
      </c>
      <c r="F82" s="7" t="s">
        <v>744</v>
      </c>
      <c r="G82" s="7" t="s">
        <v>406</v>
      </c>
      <c r="H82" s="7" t="s">
        <v>790</v>
      </c>
      <c r="I82" s="15" t="n">
        <v>222</v>
      </c>
      <c r="J82" s="7" t="s">
        <v>746</v>
      </c>
      <c r="K82" s="16"/>
      <c r="L82" s="17" t="str">
        <f aca="false">IF(K82="","",K82-N(I82))</f>
        <v/>
      </c>
    </row>
    <row r="83" customFormat="false" ht="15" hidden="false" customHeight="false" outlineLevel="0" collapsed="false">
      <c r="A83" s="7" t="n">
        <v>5772</v>
      </c>
      <c r="B83" s="7" t="s">
        <v>75</v>
      </c>
      <c r="C83" s="7" t="s">
        <v>179</v>
      </c>
      <c r="D83" s="7" t="s">
        <v>86</v>
      </c>
      <c r="E83" s="7" t="n">
        <v>3</v>
      </c>
      <c r="F83" s="7" t="s">
        <v>747</v>
      </c>
      <c r="G83" s="7" t="s">
        <v>438</v>
      </c>
      <c r="H83" s="7" t="s">
        <v>791</v>
      </c>
      <c r="I83" s="15" t="n">
        <v>716.8</v>
      </c>
      <c r="J83" s="7" t="s">
        <v>749</v>
      </c>
      <c r="K83" s="16"/>
      <c r="L83" s="17" t="str">
        <f aca="false">IF(K83="","",K83-N(I83))</f>
        <v/>
      </c>
    </row>
    <row r="84" customFormat="false" ht="15" hidden="false" customHeight="false" outlineLevel="0" collapsed="false">
      <c r="A84" s="7" t="n">
        <v>5772</v>
      </c>
      <c r="B84" s="7" t="s">
        <v>75</v>
      </c>
      <c r="C84" s="7" t="s">
        <v>182</v>
      </c>
      <c r="D84" s="7" t="s">
        <v>86</v>
      </c>
      <c r="E84" s="7" t="n">
        <v>1</v>
      </c>
      <c r="F84" s="7" t="s">
        <v>740</v>
      </c>
      <c r="G84" s="7" t="s">
        <v>438</v>
      </c>
      <c r="H84" s="7" t="s">
        <v>791</v>
      </c>
      <c r="I84" s="15"/>
      <c r="J84" s="7" t="s">
        <v>743</v>
      </c>
      <c r="K84" s="16"/>
      <c r="L84" s="17" t="str">
        <f aca="false">IF(K84="","",K84-N(I84))</f>
        <v/>
      </c>
    </row>
    <row r="85" customFormat="false" ht="15" hidden="false" customHeight="false" outlineLevel="0" collapsed="false">
      <c r="A85" s="7" t="n">
        <v>5772</v>
      </c>
      <c r="B85" s="7" t="s">
        <v>75</v>
      </c>
      <c r="C85" s="7" t="s">
        <v>182</v>
      </c>
      <c r="D85" s="7" t="s">
        <v>86</v>
      </c>
      <c r="E85" s="7" t="n">
        <v>2</v>
      </c>
      <c r="F85" s="7" t="s">
        <v>744</v>
      </c>
      <c r="G85" s="7" t="s">
        <v>438</v>
      </c>
      <c r="H85" s="7" t="s">
        <v>792</v>
      </c>
      <c r="I85" s="15" t="n">
        <v>108.2</v>
      </c>
      <c r="J85" s="7" t="s">
        <v>746</v>
      </c>
      <c r="K85" s="16"/>
      <c r="L85" s="17" t="str">
        <f aca="false">IF(K85="","",K85-N(I85))</f>
        <v/>
      </c>
    </row>
    <row r="86" customFormat="false" ht="15" hidden="false" customHeight="false" outlineLevel="0" collapsed="false">
      <c r="A86" s="7" t="n">
        <v>5772</v>
      </c>
      <c r="B86" s="7" t="s">
        <v>75</v>
      </c>
      <c r="C86" s="7" t="s">
        <v>182</v>
      </c>
      <c r="D86" s="7" t="s">
        <v>86</v>
      </c>
      <c r="E86" s="7" t="n">
        <v>3</v>
      </c>
      <c r="F86" s="7" t="s">
        <v>747</v>
      </c>
      <c r="G86" s="7" t="s">
        <v>449</v>
      </c>
      <c r="H86" s="7" t="s">
        <v>793</v>
      </c>
      <c r="I86" s="15" t="n">
        <v>436.1</v>
      </c>
      <c r="J86" s="7" t="s">
        <v>749</v>
      </c>
      <c r="K86" s="16"/>
      <c r="L86" s="17" t="str">
        <f aca="false">IF(K86="","",K86-N(I86))</f>
        <v/>
      </c>
    </row>
    <row r="87" customFormat="false" ht="15" hidden="false" customHeight="false" outlineLevel="0" collapsed="false">
      <c r="A87" s="7" t="n">
        <v>5773</v>
      </c>
      <c r="B87" s="7" t="s">
        <v>61</v>
      </c>
      <c r="C87" s="7" t="s">
        <v>184</v>
      </c>
      <c r="D87" s="7" t="s">
        <v>88</v>
      </c>
      <c r="E87" s="7" t="n">
        <v>1</v>
      </c>
      <c r="F87" s="7" t="s">
        <v>744</v>
      </c>
      <c r="G87" s="7" t="s">
        <v>794</v>
      </c>
      <c r="H87" s="7" t="s">
        <v>750</v>
      </c>
      <c r="I87" s="15"/>
      <c r="J87" s="7" t="s">
        <v>746</v>
      </c>
      <c r="K87" s="16"/>
      <c r="L87" s="17" t="str">
        <f aca="false">IF(K87="","",K87-N(I87))</f>
        <v/>
      </c>
    </row>
    <row r="88" customFormat="false" ht="15" hidden="false" customHeight="false" outlineLevel="0" collapsed="false">
      <c r="A88" s="7" t="n">
        <v>5773</v>
      </c>
      <c r="B88" s="7" t="s">
        <v>61</v>
      </c>
      <c r="C88" s="7" t="s">
        <v>184</v>
      </c>
      <c r="D88" s="7" t="s">
        <v>88</v>
      </c>
      <c r="E88" s="7" t="n">
        <v>2</v>
      </c>
      <c r="F88" s="7" t="s">
        <v>747</v>
      </c>
      <c r="G88" s="7" t="s">
        <v>397</v>
      </c>
      <c r="H88" s="7" t="s">
        <v>795</v>
      </c>
      <c r="I88" s="15" t="n">
        <v>2088.6</v>
      </c>
      <c r="J88" s="7" t="s">
        <v>749</v>
      </c>
      <c r="K88" s="16"/>
      <c r="L88" s="17" t="str">
        <f aca="false">IF(K88="","",K88-N(I88))</f>
        <v/>
      </c>
    </row>
    <row r="89" customFormat="false" ht="15" hidden="false" customHeight="false" outlineLevel="0" collapsed="false">
      <c r="A89" s="7" t="n">
        <v>5773</v>
      </c>
      <c r="B89" s="7" t="s">
        <v>61</v>
      </c>
      <c r="C89" s="7" t="s">
        <v>187</v>
      </c>
      <c r="D89" s="7" t="s">
        <v>88</v>
      </c>
      <c r="E89" s="7" t="n">
        <v>1</v>
      </c>
      <c r="F89" s="7" t="s">
        <v>740</v>
      </c>
      <c r="G89" s="7" t="s">
        <v>796</v>
      </c>
      <c r="H89" s="7" t="s">
        <v>795</v>
      </c>
      <c r="I89" s="15"/>
      <c r="J89" s="7" t="s">
        <v>743</v>
      </c>
      <c r="K89" s="16"/>
      <c r="L89" s="17" t="str">
        <f aca="false">IF(K89="","",K89-N(I89))</f>
        <v/>
      </c>
    </row>
    <row r="90" customFormat="false" ht="15" hidden="false" customHeight="false" outlineLevel="0" collapsed="false">
      <c r="A90" s="7" t="n">
        <v>5773</v>
      </c>
      <c r="B90" s="7" t="s">
        <v>61</v>
      </c>
      <c r="C90" s="7" t="s">
        <v>187</v>
      </c>
      <c r="D90" s="7" t="s">
        <v>88</v>
      </c>
      <c r="E90" s="7" t="n">
        <v>2</v>
      </c>
      <c r="F90" s="7" t="s">
        <v>744</v>
      </c>
      <c r="G90" s="7" t="s">
        <v>397</v>
      </c>
      <c r="H90" s="7" t="s">
        <v>797</v>
      </c>
      <c r="I90" s="15" t="n">
        <v>193.3</v>
      </c>
      <c r="J90" s="7" t="s">
        <v>746</v>
      </c>
      <c r="K90" s="16"/>
      <c r="L90" s="17" t="str">
        <f aca="false">IF(K90="","",K90-N(I90))</f>
        <v/>
      </c>
    </row>
    <row r="91" customFormat="false" ht="15" hidden="false" customHeight="false" outlineLevel="0" collapsed="false">
      <c r="A91" s="7" t="n">
        <v>5773</v>
      </c>
      <c r="B91" s="7" t="s">
        <v>61</v>
      </c>
      <c r="C91" s="7" t="s">
        <v>187</v>
      </c>
      <c r="D91" s="7" t="s">
        <v>88</v>
      </c>
      <c r="E91" s="7" t="n">
        <v>3</v>
      </c>
      <c r="F91" s="7" t="s">
        <v>747</v>
      </c>
      <c r="G91" s="7" t="s">
        <v>406</v>
      </c>
      <c r="H91" s="7" t="s">
        <v>798</v>
      </c>
      <c r="I91" s="15" t="n">
        <v>1540.5</v>
      </c>
      <c r="J91" s="7" t="s">
        <v>749</v>
      </c>
      <c r="K91" s="16"/>
      <c r="L91" s="17" t="str">
        <f aca="false">IF(K91="","",K91-N(I91))</f>
        <v/>
      </c>
    </row>
    <row r="92" customFormat="false" ht="15" hidden="false" customHeight="false" outlineLevel="0" collapsed="false">
      <c r="A92" s="7" t="n">
        <v>5773</v>
      </c>
      <c r="B92" s="7" t="s">
        <v>61</v>
      </c>
      <c r="C92" s="7" t="s">
        <v>187</v>
      </c>
      <c r="D92" s="7" t="s">
        <v>88</v>
      </c>
      <c r="E92" s="7" t="n">
        <v>4</v>
      </c>
      <c r="F92" s="7" t="s">
        <v>740</v>
      </c>
      <c r="G92" s="7" t="s">
        <v>438</v>
      </c>
      <c r="H92" s="7" t="s">
        <v>750</v>
      </c>
      <c r="I92" s="15" t="n">
        <v>394.3</v>
      </c>
      <c r="J92" s="7" t="s">
        <v>751</v>
      </c>
      <c r="K92" s="16"/>
      <c r="L92" s="17" t="str">
        <f aca="false">IF(K92="","",K92-N(I92))</f>
        <v/>
      </c>
    </row>
    <row r="93" customFormat="false" ht="15" hidden="false" customHeight="false" outlineLevel="0" collapsed="false">
      <c r="A93" s="7" t="n">
        <v>5774</v>
      </c>
      <c r="B93" s="7" t="s">
        <v>61</v>
      </c>
      <c r="C93" s="7" t="s">
        <v>189</v>
      </c>
      <c r="D93" s="7" t="s">
        <v>67</v>
      </c>
      <c r="E93" s="7" t="n">
        <v>1</v>
      </c>
      <c r="F93" s="7" t="s">
        <v>744</v>
      </c>
      <c r="G93" s="7" t="s">
        <v>397</v>
      </c>
      <c r="H93" s="7" t="s">
        <v>799</v>
      </c>
      <c r="I93" s="15"/>
      <c r="J93" s="7" t="s">
        <v>746</v>
      </c>
      <c r="K93" s="16"/>
      <c r="L93" s="17" t="str">
        <f aca="false">IF(K93="","",K93-N(I93))</f>
        <v/>
      </c>
    </row>
    <row r="94" customFormat="false" ht="15" hidden="false" customHeight="false" outlineLevel="0" collapsed="false">
      <c r="A94" s="7" t="n">
        <v>5774</v>
      </c>
      <c r="B94" s="7" t="s">
        <v>61</v>
      </c>
      <c r="C94" s="7" t="s">
        <v>189</v>
      </c>
      <c r="D94" s="7" t="s">
        <v>67</v>
      </c>
      <c r="E94" s="7" t="n">
        <v>2</v>
      </c>
      <c r="F94" s="7" t="s">
        <v>747</v>
      </c>
      <c r="G94" s="7" t="s">
        <v>406</v>
      </c>
      <c r="H94" s="7" t="s">
        <v>800</v>
      </c>
      <c r="I94" s="15" t="n">
        <v>1097.6</v>
      </c>
      <c r="J94" s="7" t="s">
        <v>749</v>
      </c>
      <c r="K94" s="16"/>
      <c r="L94" s="17" t="str">
        <f aca="false">IF(K94="","",K94-N(I94))</f>
        <v/>
      </c>
    </row>
    <row r="95" customFormat="false" ht="15" hidden="false" customHeight="false" outlineLevel="0" collapsed="false">
      <c r="A95" s="7" t="n">
        <v>5774</v>
      </c>
      <c r="B95" s="7" t="s">
        <v>61</v>
      </c>
      <c r="C95" s="7" t="s">
        <v>191</v>
      </c>
      <c r="D95" s="7" t="s">
        <v>67</v>
      </c>
      <c r="E95" s="7" t="n">
        <v>1</v>
      </c>
      <c r="F95" s="7" t="s">
        <v>740</v>
      </c>
      <c r="G95" s="7" t="s">
        <v>406</v>
      </c>
      <c r="H95" s="7" t="s">
        <v>800</v>
      </c>
      <c r="I95" s="15"/>
      <c r="J95" s="7" t="s">
        <v>743</v>
      </c>
      <c r="K95" s="16"/>
      <c r="L95" s="17" t="str">
        <f aca="false">IF(K95="","",K95-N(I95))</f>
        <v/>
      </c>
    </row>
    <row r="96" customFormat="false" ht="15" hidden="false" customHeight="false" outlineLevel="0" collapsed="false">
      <c r="A96" s="7" t="n">
        <v>5774</v>
      </c>
      <c r="B96" s="7" t="s">
        <v>61</v>
      </c>
      <c r="C96" s="7" t="s">
        <v>191</v>
      </c>
      <c r="D96" s="7" t="s">
        <v>67</v>
      </c>
      <c r="E96" s="7" t="n">
        <v>2</v>
      </c>
      <c r="F96" s="7" t="s">
        <v>744</v>
      </c>
      <c r="G96" s="7" t="s">
        <v>422</v>
      </c>
      <c r="H96" s="7" t="s">
        <v>801</v>
      </c>
      <c r="I96" s="15" t="n">
        <v>134</v>
      </c>
      <c r="J96" s="7" t="s">
        <v>746</v>
      </c>
      <c r="K96" s="16"/>
      <c r="L96" s="17" t="str">
        <f aca="false">IF(K96="","",K96-N(I96))</f>
        <v/>
      </c>
    </row>
    <row r="97" customFormat="false" ht="15" hidden="false" customHeight="false" outlineLevel="0" collapsed="false">
      <c r="A97" s="7" t="n">
        <v>5774</v>
      </c>
      <c r="B97" s="7" t="s">
        <v>61</v>
      </c>
      <c r="C97" s="7" t="s">
        <v>191</v>
      </c>
      <c r="D97" s="7" t="s">
        <v>67</v>
      </c>
      <c r="E97" s="7" t="n">
        <v>3</v>
      </c>
      <c r="F97" s="7" t="s">
        <v>747</v>
      </c>
      <c r="G97" s="7" t="s">
        <v>483</v>
      </c>
      <c r="H97" s="7" t="s">
        <v>802</v>
      </c>
      <c r="I97" s="15" t="n">
        <v>1214.8</v>
      </c>
      <c r="J97" s="7" t="s">
        <v>749</v>
      </c>
      <c r="K97" s="16"/>
      <c r="L97" s="17" t="str">
        <f aca="false">IF(K97="","",K97-N(I97))</f>
        <v/>
      </c>
    </row>
    <row r="98" customFormat="false" ht="15" hidden="false" customHeight="false" outlineLevel="0" collapsed="false">
      <c r="A98" s="7" t="n">
        <v>5775</v>
      </c>
      <c r="B98" s="7" t="s">
        <v>61</v>
      </c>
      <c r="C98" s="7" t="s">
        <v>193</v>
      </c>
      <c r="D98" s="7" t="s">
        <v>71</v>
      </c>
      <c r="E98" s="7" t="n">
        <v>1</v>
      </c>
      <c r="F98" s="7" t="s">
        <v>744</v>
      </c>
      <c r="G98" s="7" t="s">
        <v>372</v>
      </c>
      <c r="H98" s="7" t="s">
        <v>803</v>
      </c>
      <c r="I98" s="15"/>
      <c r="J98" s="7" t="s">
        <v>746</v>
      </c>
      <c r="K98" s="16"/>
      <c r="L98" s="17" t="str">
        <f aca="false">IF(K98="","",K98-N(I98))</f>
        <v/>
      </c>
    </row>
    <row r="99" customFormat="false" ht="15" hidden="false" customHeight="false" outlineLevel="0" collapsed="false">
      <c r="A99" s="7" t="n">
        <v>5775</v>
      </c>
      <c r="B99" s="7" t="s">
        <v>61</v>
      </c>
      <c r="C99" s="7" t="s">
        <v>193</v>
      </c>
      <c r="D99" s="7" t="s">
        <v>71</v>
      </c>
      <c r="E99" s="7" t="n">
        <v>2</v>
      </c>
      <c r="F99" s="7" t="s">
        <v>747</v>
      </c>
      <c r="G99" s="7" t="s">
        <v>397</v>
      </c>
      <c r="H99" s="7" t="s">
        <v>804</v>
      </c>
      <c r="I99" s="15" t="n">
        <v>1292.4</v>
      </c>
      <c r="J99" s="7" t="s">
        <v>749</v>
      </c>
      <c r="K99" s="16"/>
      <c r="L99" s="17" t="str">
        <f aca="false">IF(K99="","",K99-N(I99))</f>
        <v/>
      </c>
    </row>
    <row r="100" customFormat="false" ht="15" hidden="false" customHeight="false" outlineLevel="0" collapsed="false">
      <c r="A100" s="7" t="n">
        <v>5775</v>
      </c>
      <c r="B100" s="7" t="s">
        <v>61</v>
      </c>
      <c r="C100" s="7" t="s">
        <v>196</v>
      </c>
      <c r="D100" s="7" t="s">
        <v>71</v>
      </c>
      <c r="E100" s="7" t="n">
        <v>1</v>
      </c>
      <c r="F100" s="7" t="s">
        <v>740</v>
      </c>
      <c r="G100" s="7" t="s">
        <v>397</v>
      </c>
      <c r="H100" s="7" t="s">
        <v>804</v>
      </c>
      <c r="I100" s="15"/>
      <c r="J100" s="7" t="s">
        <v>743</v>
      </c>
      <c r="K100" s="16"/>
      <c r="L100" s="17" t="str">
        <f aca="false">IF(K100="","",K100-N(I100))</f>
        <v/>
      </c>
    </row>
    <row r="101" customFormat="false" ht="15" hidden="false" customHeight="false" outlineLevel="0" collapsed="false">
      <c r="A101" s="7" t="n">
        <v>5775</v>
      </c>
      <c r="B101" s="7" t="s">
        <v>61</v>
      </c>
      <c r="C101" s="7" t="s">
        <v>196</v>
      </c>
      <c r="D101" s="7" t="s">
        <v>71</v>
      </c>
      <c r="E101" s="7" t="n">
        <v>2</v>
      </c>
      <c r="F101" s="7" t="s">
        <v>744</v>
      </c>
      <c r="G101" s="7" t="s">
        <v>406</v>
      </c>
      <c r="H101" s="7" t="s">
        <v>805</v>
      </c>
      <c r="I101" s="15" t="n">
        <v>109.3</v>
      </c>
      <c r="J101" s="7" t="s">
        <v>746</v>
      </c>
      <c r="K101" s="16"/>
      <c r="L101" s="17" t="str">
        <f aca="false">IF(K101="","",K101-N(I101))</f>
        <v/>
      </c>
    </row>
    <row r="102" customFormat="false" ht="15" hidden="false" customHeight="false" outlineLevel="0" collapsed="false">
      <c r="A102" s="7" t="n">
        <v>5775</v>
      </c>
      <c r="B102" s="7" t="s">
        <v>61</v>
      </c>
      <c r="C102" s="7" t="s">
        <v>196</v>
      </c>
      <c r="D102" s="7" t="s">
        <v>71</v>
      </c>
      <c r="E102" s="7" t="n">
        <v>3</v>
      </c>
      <c r="F102" s="7" t="s">
        <v>747</v>
      </c>
      <c r="G102" s="7" t="s">
        <v>438</v>
      </c>
      <c r="H102" s="7" t="s">
        <v>806</v>
      </c>
      <c r="I102" s="15" t="n">
        <v>1119.2</v>
      </c>
      <c r="J102" s="7" t="s">
        <v>749</v>
      </c>
      <c r="K102" s="16"/>
      <c r="L102" s="17" t="str">
        <f aca="false">IF(K102="","",K102-N(I102))</f>
        <v/>
      </c>
    </row>
    <row r="103" customFormat="false" ht="15" hidden="false" customHeight="false" outlineLevel="0" collapsed="false">
      <c r="A103" s="7" t="n">
        <v>5775</v>
      </c>
      <c r="B103" s="7" t="s">
        <v>61</v>
      </c>
      <c r="C103" s="7" t="s">
        <v>199</v>
      </c>
      <c r="D103" s="7" t="s">
        <v>71</v>
      </c>
      <c r="E103" s="7" t="n">
        <v>1</v>
      </c>
      <c r="F103" s="7" t="s">
        <v>740</v>
      </c>
      <c r="G103" s="7" t="s">
        <v>438</v>
      </c>
      <c r="H103" s="7" t="s">
        <v>806</v>
      </c>
      <c r="I103" s="15"/>
      <c r="J103" s="7" t="s">
        <v>743</v>
      </c>
      <c r="K103" s="16"/>
      <c r="L103" s="17" t="str">
        <f aca="false">IF(K103="","",K103-N(I103))</f>
        <v/>
      </c>
    </row>
    <row r="104" customFormat="false" ht="15" hidden="false" customHeight="false" outlineLevel="0" collapsed="false">
      <c r="A104" s="7" t="n">
        <v>5775</v>
      </c>
      <c r="B104" s="7" t="s">
        <v>61</v>
      </c>
      <c r="C104" s="7" t="s">
        <v>199</v>
      </c>
      <c r="D104" s="7" t="s">
        <v>71</v>
      </c>
      <c r="E104" s="7" t="n">
        <v>2</v>
      </c>
      <c r="F104" s="7" t="s">
        <v>744</v>
      </c>
      <c r="G104" s="7" t="s">
        <v>449</v>
      </c>
      <c r="H104" s="7" t="s">
        <v>807</v>
      </c>
      <c r="I104" s="15" t="n">
        <v>25.6</v>
      </c>
      <c r="J104" s="7" t="s">
        <v>746</v>
      </c>
      <c r="K104" s="16"/>
      <c r="L104" s="17" t="str">
        <f aca="false">IF(K104="","",K104-N(I104))</f>
        <v/>
      </c>
    </row>
    <row r="105" customFormat="false" ht="15" hidden="false" customHeight="false" outlineLevel="0" collapsed="false">
      <c r="A105" s="7" t="n">
        <v>5775</v>
      </c>
      <c r="B105" s="7" t="s">
        <v>61</v>
      </c>
      <c r="C105" s="7" t="s">
        <v>199</v>
      </c>
      <c r="D105" s="7" t="s">
        <v>71</v>
      </c>
      <c r="E105" s="7" t="n">
        <v>3</v>
      </c>
      <c r="F105" s="7" t="s">
        <v>747</v>
      </c>
      <c r="G105" s="7" t="s">
        <v>483</v>
      </c>
      <c r="H105" s="7" t="s">
        <v>808</v>
      </c>
      <c r="I105" s="15" t="n">
        <v>351.6</v>
      </c>
      <c r="J105" s="7" t="s">
        <v>749</v>
      </c>
      <c r="K105" s="16"/>
      <c r="L105" s="17" t="str">
        <f aca="false">IF(K105="","",K105-N(I105))</f>
        <v/>
      </c>
    </row>
    <row r="106" customFormat="false" ht="15" hidden="false" customHeight="false" outlineLevel="0" collapsed="false">
      <c r="A106" s="7" t="n">
        <v>5776</v>
      </c>
      <c r="B106" s="7" t="s">
        <v>75</v>
      </c>
      <c r="C106" s="7" t="s">
        <v>201</v>
      </c>
      <c r="D106" s="7" t="s">
        <v>202</v>
      </c>
      <c r="E106" s="7" t="n">
        <v>1</v>
      </c>
      <c r="F106" s="7" t="s">
        <v>744</v>
      </c>
      <c r="G106" s="7" t="s">
        <v>316</v>
      </c>
      <c r="H106" s="7" t="s">
        <v>809</v>
      </c>
      <c r="I106" s="15"/>
      <c r="J106" s="7" t="s">
        <v>746</v>
      </c>
      <c r="K106" s="16"/>
      <c r="L106" s="17" t="str">
        <f aca="false">IF(K106="","",K106-N(I106))</f>
        <v/>
      </c>
    </row>
    <row r="107" customFormat="false" ht="15" hidden="false" customHeight="false" outlineLevel="0" collapsed="false">
      <c r="A107" s="7" t="n">
        <v>5776</v>
      </c>
      <c r="B107" s="7" t="s">
        <v>75</v>
      </c>
      <c r="C107" s="7" t="s">
        <v>201</v>
      </c>
      <c r="D107" s="7" t="s">
        <v>202</v>
      </c>
      <c r="E107" s="7" t="n">
        <v>2</v>
      </c>
      <c r="F107" s="7" t="s">
        <v>747</v>
      </c>
      <c r="G107" s="7" t="s">
        <v>397</v>
      </c>
      <c r="H107" s="7" t="s">
        <v>804</v>
      </c>
      <c r="I107" s="15" t="n">
        <v>1292.4</v>
      </c>
      <c r="J107" s="7" t="s">
        <v>749</v>
      </c>
      <c r="K107" s="16"/>
      <c r="L107" s="17" t="str">
        <f aca="false">IF(K107="","",K107-N(I107))</f>
        <v/>
      </c>
    </row>
    <row r="108" customFormat="false" ht="15" hidden="false" customHeight="false" outlineLevel="0" collapsed="false">
      <c r="A108" s="7" t="n">
        <v>5776</v>
      </c>
      <c r="B108" s="7" t="s">
        <v>75</v>
      </c>
      <c r="C108" s="7" t="s">
        <v>204</v>
      </c>
      <c r="D108" s="7" t="s">
        <v>93</v>
      </c>
      <c r="E108" s="7" t="n">
        <v>1</v>
      </c>
      <c r="F108" s="7" t="s">
        <v>740</v>
      </c>
      <c r="G108" s="7" t="s">
        <v>449</v>
      </c>
      <c r="H108" s="7" t="s">
        <v>810</v>
      </c>
      <c r="I108" s="15"/>
      <c r="J108" s="7" t="s">
        <v>743</v>
      </c>
      <c r="K108" s="16"/>
      <c r="L108" s="17" t="str">
        <f aca="false">IF(K108="","",K108-N(I108))</f>
        <v/>
      </c>
    </row>
    <row r="109" customFormat="false" ht="15" hidden="false" customHeight="false" outlineLevel="0" collapsed="false">
      <c r="A109" s="7" t="n">
        <v>5776</v>
      </c>
      <c r="B109" s="7" t="s">
        <v>75</v>
      </c>
      <c r="C109" s="7" t="s">
        <v>204</v>
      </c>
      <c r="D109" s="7" t="s">
        <v>93</v>
      </c>
      <c r="E109" s="7" t="n">
        <v>2</v>
      </c>
      <c r="F109" s="7" t="s">
        <v>744</v>
      </c>
      <c r="G109" s="7" t="s">
        <v>449</v>
      </c>
      <c r="H109" s="7" t="s">
        <v>811</v>
      </c>
      <c r="I109" s="15" t="n">
        <v>36.6</v>
      </c>
      <c r="J109" s="7" t="s">
        <v>746</v>
      </c>
      <c r="K109" s="16"/>
      <c r="L109" s="17" t="str">
        <f aca="false">IF(K109="","",K109-N(I109))</f>
        <v/>
      </c>
    </row>
    <row r="110" customFormat="false" ht="15" hidden="false" customHeight="false" outlineLevel="0" collapsed="false">
      <c r="A110" s="7" t="n">
        <v>5776</v>
      </c>
      <c r="B110" s="7" t="s">
        <v>75</v>
      </c>
      <c r="C110" s="7" t="s">
        <v>204</v>
      </c>
      <c r="D110" s="7" t="s">
        <v>93</v>
      </c>
      <c r="E110" s="7" t="n">
        <v>3</v>
      </c>
      <c r="F110" s="7" t="s">
        <v>747</v>
      </c>
      <c r="G110" s="7" t="s">
        <v>483</v>
      </c>
      <c r="H110" s="7" t="s">
        <v>812</v>
      </c>
      <c r="I110" s="15" t="n">
        <v>426.8</v>
      </c>
      <c r="J110" s="7" t="s">
        <v>749</v>
      </c>
      <c r="K110" s="16"/>
      <c r="L110" s="17" t="str">
        <f aca="false">IF(K110="","",K110-N(I110))</f>
        <v/>
      </c>
    </row>
    <row r="111" customFormat="false" ht="15" hidden="false" customHeight="false" outlineLevel="0" collapsed="false">
      <c r="A111" s="7" t="n">
        <v>5776</v>
      </c>
      <c r="B111" s="7" t="s">
        <v>75</v>
      </c>
      <c r="C111" s="7" t="s">
        <v>206</v>
      </c>
      <c r="D111" s="7" t="s">
        <v>93</v>
      </c>
      <c r="E111" s="7" t="n">
        <v>1</v>
      </c>
      <c r="F111" s="7" t="s">
        <v>740</v>
      </c>
      <c r="G111" s="7" t="s">
        <v>397</v>
      </c>
      <c r="H111" s="7" t="s">
        <v>804</v>
      </c>
      <c r="I111" s="15"/>
      <c r="J111" s="7" t="s">
        <v>743</v>
      </c>
      <c r="K111" s="16"/>
      <c r="L111" s="17" t="str">
        <f aca="false">IF(K111="","",K111-N(I111))</f>
        <v/>
      </c>
    </row>
    <row r="112" customFormat="false" ht="15" hidden="false" customHeight="false" outlineLevel="0" collapsed="false">
      <c r="A112" s="7" t="n">
        <v>5776</v>
      </c>
      <c r="B112" s="7" t="s">
        <v>75</v>
      </c>
      <c r="C112" s="7" t="s">
        <v>206</v>
      </c>
      <c r="D112" s="7" t="s">
        <v>93</v>
      </c>
      <c r="E112" s="7" t="n">
        <v>2</v>
      </c>
      <c r="F112" s="7" t="s">
        <v>744</v>
      </c>
      <c r="G112" s="7" t="s">
        <v>422</v>
      </c>
      <c r="H112" s="7" t="s">
        <v>813</v>
      </c>
      <c r="I112" s="15" t="n">
        <v>21.9</v>
      </c>
      <c r="J112" s="7" t="s">
        <v>746</v>
      </c>
      <c r="K112" s="16"/>
      <c r="L112" s="17" t="str">
        <f aca="false">IF(K112="","",K112-N(I112))</f>
        <v/>
      </c>
    </row>
    <row r="113" customFormat="false" ht="15" hidden="false" customHeight="false" outlineLevel="0" collapsed="false">
      <c r="A113" s="7" t="n">
        <v>5776</v>
      </c>
      <c r="B113" s="7" t="s">
        <v>75</v>
      </c>
      <c r="C113" s="7" t="s">
        <v>206</v>
      </c>
      <c r="D113" s="7" t="s">
        <v>93</v>
      </c>
      <c r="E113" s="7" t="n">
        <v>3</v>
      </c>
      <c r="F113" s="7" t="s">
        <v>747</v>
      </c>
      <c r="G113" s="7" t="s">
        <v>449</v>
      </c>
      <c r="H113" s="7" t="s">
        <v>810</v>
      </c>
      <c r="I113" s="15" t="n">
        <v>897.6</v>
      </c>
      <c r="J113" s="7" t="s">
        <v>749</v>
      </c>
      <c r="K113" s="16"/>
      <c r="L113" s="17" t="str">
        <f aca="false">IF(K113="","",K113-N(I113))</f>
        <v/>
      </c>
    </row>
    <row r="114" customFormat="false" ht="15" hidden="false" customHeight="false" outlineLevel="0" collapsed="false">
      <c r="A114" s="7" t="n">
        <v>5777</v>
      </c>
      <c r="B114" s="7" t="s">
        <v>61</v>
      </c>
      <c r="C114" s="7" t="s">
        <v>209</v>
      </c>
      <c r="D114" s="7" t="s">
        <v>84</v>
      </c>
      <c r="E114" s="7" t="n">
        <v>1</v>
      </c>
      <c r="F114" s="7" t="s">
        <v>744</v>
      </c>
      <c r="G114" s="7" t="s">
        <v>422</v>
      </c>
      <c r="H114" s="7" t="s">
        <v>752</v>
      </c>
      <c r="I114" s="15"/>
      <c r="J114" s="7" t="s">
        <v>746</v>
      </c>
      <c r="K114" s="16"/>
      <c r="L114" s="17" t="str">
        <f aca="false">IF(K114="","",K114-N(I114))</f>
        <v/>
      </c>
    </row>
    <row r="115" customFormat="false" ht="15" hidden="false" customHeight="false" outlineLevel="0" collapsed="false">
      <c r="A115" s="7" t="n">
        <v>5777</v>
      </c>
      <c r="B115" s="7" t="s">
        <v>61</v>
      </c>
      <c r="C115" s="7" t="s">
        <v>209</v>
      </c>
      <c r="D115" s="7" t="s">
        <v>84</v>
      </c>
      <c r="E115" s="7" t="n">
        <v>2</v>
      </c>
      <c r="F115" s="7" t="s">
        <v>747</v>
      </c>
      <c r="G115" s="7" t="s">
        <v>483</v>
      </c>
      <c r="H115" s="7" t="s">
        <v>742</v>
      </c>
      <c r="I115" s="15" t="n">
        <v>1890.2</v>
      </c>
      <c r="J115" s="7" t="s">
        <v>749</v>
      </c>
      <c r="K115" s="16"/>
      <c r="L115" s="17" t="str">
        <f aca="false">IF(K115="","",K115-N(I115))</f>
        <v/>
      </c>
    </row>
    <row r="116" customFormat="false" ht="15" hidden="false" customHeight="false" outlineLevel="0" collapsed="false">
      <c r="A116" s="7" t="n">
        <v>5777</v>
      </c>
      <c r="B116" s="7" t="s">
        <v>61</v>
      </c>
      <c r="C116" s="7" t="s">
        <v>210</v>
      </c>
      <c r="D116" s="7" t="s">
        <v>84</v>
      </c>
      <c r="E116" s="7" t="n">
        <v>1</v>
      </c>
      <c r="F116" s="7" t="s">
        <v>740</v>
      </c>
      <c r="G116" s="7" t="s">
        <v>466</v>
      </c>
      <c r="H116" s="7" t="s">
        <v>742</v>
      </c>
      <c r="I116" s="15"/>
      <c r="J116" s="7" t="s">
        <v>743</v>
      </c>
      <c r="K116" s="16"/>
      <c r="L116" s="17" t="str">
        <f aca="false">IF(K116="","",K116-N(I116))</f>
        <v/>
      </c>
    </row>
    <row r="117" customFormat="false" ht="15" hidden="false" customHeight="false" outlineLevel="0" collapsed="false">
      <c r="A117" s="7" t="n">
        <v>5777</v>
      </c>
      <c r="B117" s="7" t="s">
        <v>61</v>
      </c>
      <c r="C117" s="7" t="s">
        <v>210</v>
      </c>
      <c r="D117" s="7" t="s">
        <v>84</v>
      </c>
      <c r="E117" s="7" t="n">
        <v>2</v>
      </c>
      <c r="F117" s="7" t="s">
        <v>744</v>
      </c>
      <c r="G117" s="7" t="s">
        <v>466</v>
      </c>
      <c r="H117" s="7" t="s">
        <v>814</v>
      </c>
      <c r="I117" s="15" t="n">
        <v>224.5</v>
      </c>
      <c r="J117" s="7" t="s">
        <v>746</v>
      </c>
      <c r="K117" s="16"/>
      <c r="L117" s="17" t="str">
        <f aca="false">IF(K117="","",K117-N(I117))</f>
        <v/>
      </c>
    </row>
    <row r="118" customFormat="false" ht="15" hidden="false" customHeight="false" outlineLevel="0" collapsed="false">
      <c r="A118" s="7" t="n">
        <v>5777</v>
      </c>
      <c r="B118" s="7" t="s">
        <v>61</v>
      </c>
      <c r="C118" s="7" t="s">
        <v>210</v>
      </c>
      <c r="D118" s="7" t="s">
        <v>84</v>
      </c>
      <c r="E118" s="7" t="n">
        <v>3</v>
      </c>
      <c r="F118" s="7" t="s">
        <v>747</v>
      </c>
      <c r="G118" s="7" t="s">
        <v>477</v>
      </c>
      <c r="H118" s="7" t="s">
        <v>815</v>
      </c>
      <c r="I118" s="15" t="n">
        <v>1557.7</v>
      </c>
      <c r="J118" s="7" t="s">
        <v>749</v>
      </c>
      <c r="K118" s="16"/>
      <c r="L118" s="17" t="str">
        <f aca="false">IF(K118="","",K118-N(I118))</f>
        <v/>
      </c>
    </row>
    <row r="119" customFormat="false" ht="15" hidden="false" customHeight="false" outlineLevel="0" collapsed="false">
      <c r="A119" s="7" t="n">
        <v>5777</v>
      </c>
      <c r="B119" s="7" t="s">
        <v>61</v>
      </c>
      <c r="C119" s="7" t="s">
        <v>210</v>
      </c>
      <c r="D119" s="7" t="s">
        <v>84</v>
      </c>
      <c r="E119" s="7" t="n">
        <v>4</v>
      </c>
      <c r="F119" s="7" t="s">
        <v>740</v>
      </c>
      <c r="G119" s="7" t="s">
        <v>477</v>
      </c>
      <c r="H119" s="7" t="s">
        <v>750</v>
      </c>
      <c r="I119" s="15" t="n">
        <v>143.6</v>
      </c>
      <c r="J119" s="7" t="s">
        <v>751</v>
      </c>
      <c r="K119" s="16"/>
      <c r="L119" s="17" t="str">
        <f aca="false">IF(K119="","",K119-N(I119))</f>
        <v/>
      </c>
    </row>
    <row r="120" customFormat="false" ht="15" hidden="false" customHeight="false" outlineLevel="0" collapsed="false">
      <c r="A120" s="7" t="n">
        <v>5778</v>
      </c>
      <c r="B120" s="7" t="s">
        <v>61</v>
      </c>
      <c r="C120" s="7" t="s">
        <v>212</v>
      </c>
      <c r="D120" s="7" t="s">
        <v>81</v>
      </c>
      <c r="E120" s="7" t="n">
        <v>1</v>
      </c>
      <c r="F120" s="7" t="s">
        <v>740</v>
      </c>
      <c r="G120" s="7" t="s">
        <v>406</v>
      </c>
      <c r="H120" s="7" t="s">
        <v>816</v>
      </c>
      <c r="I120" s="15"/>
      <c r="J120" s="7" t="s">
        <v>743</v>
      </c>
      <c r="K120" s="16"/>
      <c r="L120" s="17" t="str">
        <f aca="false">IF(K120="","",K120-N(I120))</f>
        <v/>
      </c>
    </row>
    <row r="121" customFormat="false" ht="15" hidden="false" customHeight="false" outlineLevel="0" collapsed="false">
      <c r="A121" s="7" t="n">
        <v>5778</v>
      </c>
      <c r="B121" s="7" t="s">
        <v>61</v>
      </c>
      <c r="C121" s="7" t="s">
        <v>212</v>
      </c>
      <c r="D121" s="7" t="s">
        <v>81</v>
      </c>
      <c r="E121" s="7" t="n">
        <v>2</v>
      </c>
      <c r="F121" s="7" t="s">
        <v>744</v>
      </c>
      <c r="G121" s="7" t="s">
        <v>483</v>
      </c>
      <c r="H121" s="7" t="s">
        <v>817</v>
      </c>
      <c r="I121" s="15" t="n">
        <v>711.5</v>
      </c>
      <c r="J121" s="7" t="s">
        <v>746</v>
      </c>
      <c r="K121" s="16"/>
      <c r="L121" s="17" t="str">
        <f aca="false">IF(K121="","",K121-N(I121))</f>
        <v/>
      </c>
    </row>
    <row r="122" customFormat="false" ht="15" hidden="false" customHeight="false" outlineLevel="0" collapsed="false">
      <c r="A122" s="7" t="n">
        <v>5778</v>
      </c>
      <c r="B122" s="7" t="s">
        <v>61</v>
      </c>
      <c r="C122" s="7" t="s">
        <v>212</v>
      </c>
      <c r="D122" s="7" t="s">
        <v>81</v>
      </c>
      <c r="E122" s="7" t="n">
        <v>3</v>
      </c>
      <c r="F122" s="7" t="s">
        <v>747</v>
      </c>
      <c r="G122" s="7" t="s">
        <v>477</v>
      </c>
      <c r="H122" s="7" t="s">
        <v>818</v>
      </c>
      <c r="I122" s="15" t="n">
        <v>1185.4</v>
      </c>
      <c r="J122" s="7" t="s">
        <v>749</v>
      </c>
      <c r="K122" s="16"/>
      <c r="L122" s="17" t="str">
        <f aca="false">IF(K122="","",K122-N(I122))</f>
        <v/>
      </c>
    </row>
    <row r="123" customFormat="false" ht="15" hidden="false" customHeight="false" outlineLevel="0" collapsed="false">
      <c r="A123" s="7" t="n">
        <v>5778</v>
      </c>
      <c r="B123" s="7" t="s">
        <v>61</v>
      </c>
      <c r="C123" s="7" t="s">
        <v>214</v>
      </c>
      <c r="D123" s="7" t="s">
        <v>81</v>
      </c>
      <c r="E123" s="7" t="n">
        <v>1</v>
      </c>
      <c r="F123" s="7" t="s">
        <v>744</v>
      </c>
      <c r="G123" s="7" t="s">
        <v>397</v>
      </c>
      <c r="H123" s="7" t="s">
        <v>819</v>
      </c>
      <c r="I123" s="15"/>
      <c r="J123" s="7" t="s">
        <v>746</v>
      </c>
      <c r="K123" s="16"/>
      <c r="L123" s="17" t="str">
        <f aca="false">IF(K123="","",K123-N(I123))</f>
        <v/>
      </c>
    </row>
    <row r="124" customFormat="false" ht="15" hidden="false" customHeight="false" outlineLevel="0" collapsed="false">
      <c r="A124" s="7" t="n">
        <v>5778</v>
      </c>
      <c r="B124" s="7" t="s">
        <v>61</v>
      </c>
      <c r="C124" s="7" t="s">
        <v>214</v>
      </c>
      <c r="D124" s="7" t="s">
        <v>81</v>
      </c>
      <c r="E124" s="7" t="n">
        <v>2</v>
      </c>
      <c r="F124" s="7" t="s">
        <v>747</v>
      </c>
      <c r="G124" s="7" t="s">
        <v>406</v>
      </c>
      <c r="H124" s="7" t="s">
        <v>816</v>
      </c>
      <c r="I124" s="15" t="n">
        <v>1303.1</v>
      </c>
      <c r="J124" s="7" t="s">
        <v>749</v>
      </c>
      <c r="K124" s="16"/>
      <c r="L124" s="17" t="str">
        <f aca="false">IF(K124="","",K124-N(I124))</f>
        <v/>
      </c>
    </row>
    <row r="125" customFormat="false" ht="15" hidden="false" customHeight="false" outlineLevel="0" collapsed="false">
      <c r="A125" s="7" t="n">
        <v>5779</v>
      </c>
      <c r="B125" s="7" t="s">
        <v>61</v>
      </c>
      <c r="C125" s="7" t="s">
        <v>216</v>
      </c>
      <c r="D125" s="7" t="s">
        <v>92</v>
      </c>
      <c r="E125" s="7" t="n">
        <v>1</v>
      </c>
      <c r="F125" s="7" t="s">
        <v>740</v>
      </c>
      <c r="G125" s="7" t="s">
        <v>525</v>
      </c>
      <c r="H125" s="7" t="s">
        <v>820</v>
      </c>
      <c r="I125" s="15"/>
      <c r="J125" s="7" t="s">
        <v>743</v>
      </c>
      <c r="K125" s="16"/>
      <c r="L125" s="17" t="str">
        <f aca="false">IF(K125="","",K125-N(I125))</f>
        <v/>
      </c>
    </row>
    <row r="126" customFormat="false" ht="15" hidden="false" customHeight="false" outlineLevel="0" collapsed="false">
      <c r="A126" s="7" t="n">
        <v>5779</v>
      </c>
      <c r="B126" s="7" t="s">
        <v>61</v>
      </c>
      <c r="C126" s="7" t="s">
        <v>216</v>
      </c>
      <c r="D126" s="7" t="s">
        <v>92</v>
      </c>
      <c r="E126" s="7" t="n">
        <v>2</v>
      </c>
      <c r="F126" s="7" t="s">
        <v>744</v>
      </c>
      <c r="G126" s="7" t="s">
        <v>525</v>
      </c>
      <c r="H126" s="7" t="s">
        <v>821</v>
      </c>
      <c r="I126" s="15" t="n">
        <v>57.3</v>
      </c>
      <c r="J126" s="7" t="s">
        <v>746</v>
      </c>
      <c r="K126" s="16"/>
      <c r="L126" s="17" t="str">
        <f aca="false">IF(K126="","",K126-N(I126))</f>
        <v/>
      </c>
    </row>
    <row r="127" customFormat="false" ht="15" hidden="false" customHeight="false" outlineLevel="0" collapsed="false">
      <c r="A127" s="7" t="n">
        <v>5779</v>
      </c>
      <c r="B127" s="7" t="s">
        <v>61</v>
      </c>
      <c r="C127" s="7" t="s">
        <v>216</v>
      </c>
      <c r="D127" s="7" t="s">
        <v>92</v>
      </c>
      <c r="E127" s="7" t="n">
        <v>3</v>
      </c>
      <c r="F127" s="7" t="s">
        <v>747</v>
      </c>
      <c r="G127" s="7" t="s">
        <v>480</v>
      </c>
      <c r="H127" s="7" t="s">
        <v>822</v>
      </c>
      <c r="I127" s="15" t="n">
        <v>1122.1</v>
      </c>
      <c r="J127" s="7" t="s">
        <v>749</v>
      </c>
      <c r="K127" s="16"/>
      <c r="L127" s="17" t="str">
        <f aca="false">IF(K127="","",K127-N(I127))</f>
        <v/>
      </c>
    </row>
    <row r="128" customFormat="false" ht="15" hidden="false" customHeight="false" outlineLevel="0" collapsed="false">
      <c r="A128" s="7" t="n">
        <v>5779</v>
      </c>
      <c r="B128" s="7" t="s">
        <v>61</v>
      </c>
      <c r="C128" s="7" t="s">
        <v>216</v>
      </c>
      <c r="D128" s="7" t="s">
        <v>92</v>
      </c>
      <c r="E128" s="7" t="n">
        <v>4</v>
      </c>
      <c r="F128" s="7" t="s">
        <v>740</v>
      </c>
      <c r="G128" s="7" t="s">
        <v>499</v>
      </c>
      <c r="H128" s="7" t="s">
        <v>750</v>
      </c>
      <c r="I128" s="15" t="n">
        <v>430.6</v>
      </c>
      <c r="J128" s="7" t="s">
        <v>751</v>
      </c>
      <c r="K128" s="16"/>
      <c r="L128" s="17" t="str">
        <f aca="false">IF(K128="","",K128-N(I128))</f>
        <v/>
      </c>
    </row>
    <row r="129" customFormat="false" ht="15" hidden="false" customHeight="false" outlineLevel="0" collapsed="false">
      <c r="A129" s="7" t="n">
        <v>5779</v>
      </c>
      <c r="B129" s="7" t="s">
        <v>61</v>
      </c>
      <c r="C129" s="7" t="s">
        <v>219</v>
      </c>
      <c r="D129" s="7" t="s">
        <v>92</v>
      </c>
      <c r="E129" s="7" t="n">
        <v>1</v>
      </c>
      <c r="F129" s="7" t="s">
        <v>744</v>
      </c>
      <c r="G129" s="7" t="s">
        <v>483</v>
      </c>
      <c r="H129" s="7" t="s">
        <v>750</v>
      </c>
      <c r="I129" s="15"/>
      <c r="J129" s="7" t="s">
        <v>746</v>
      </c>
      <c r="K129" s="16"/>
      <c r="L129" s="17" t="str">
        <f aca="false">IF(K129="","",K129-N(I129))</f>
        <v/>
      </c>
    </row>
    <row r="130" customFormat="false" ht="15" hidden="false" customHeight="false" outlineLevel="0" collapsed="false">
      <c r="A130" s="7" t="n">
        <v>5779</v>
      </c>
      <c r="B130" s="7" t="s">
        <v>61</v>
      </c>
      <c r="C130" s="7" t="s">
        <v>219</v>
      </c>
      <c r="D130" s="7" t="s">
        <v>92</v>
      </c>
      <c r="E130" s="7" t="n">
        <v>2</v>
      </c>
      <c r="F130" s="7" t="s">
        <v>747</v>
      </c>
      <c r="G130" s="7" t="s">
        <v>477</v>
      </c>
      <c r="H130" s="7" t="s">
        <v>820</v>
      </c>
      <c r="I130" s="15" t="n">
        <v>1547</v>
      </c>
      <c r="J130" s="7" t="s">
        <v>749</v>
      </c>
      <c r="K130" s="16"/>
      <c r="L130" s="17" t="str">
        <f aca="false">IF(K130="","",K130-N(I130))</f>
        <v/>
      </c>
    </row>
    <row r="131" customFormat="false" ht="15" hidden="false" customHeight="false" outlineLevel="0" collapsed="false">
      <c r="A131" s="7" t="n">
        <v>5780</v>
      </c>
      <c r="B131" s="7" t="s">
        <v>75</v>
      </c>
      <c r="C131" s="7" t="s">
        <v>220</v>
      </c>
      <c r="D131" s="7" t="s">
        <v>77</v>
      </c>
      <c r="E131" s="7" t="n">
        <v>1</v>
      </c>
      <c r="F131" s="7" t="s">
        <v>744</v>
      </c>
      <c r="G131" s="7" t="s">
        <v>525</v>
      </c>
      <c r="H131" s="7" t="s">
        <v>823</v>
      </c>
      <c r="I131" s="15"/>
      <c r="J131" s="7" t="s">
        <v>746</v>
      </c>
      <c r="K131" s="16"/>
      <c r="L131" s="17" t="str">
        <f aca="false">IF(K131="","",K131-N(I131))</f>
        <v/>
      </c>
    </row>
    <row r="132" customFormat="false" ht="15" hidden="false" customHeight="false" outlineLevel="0" collapsed="false">
      <c r="A132" s="7" t="n">
        <v>5780</v>
      </c>
      <c r="B132" s="7" t="s">
        <v>75</v>
      </c>
      <c r="C132" s="7" t="s">
        <v>220</v>
      </c>
      <c r="D132" s="7" t="s">
        <v>77</v>
      </c>
      <c r="E132" s="7" t="n">
        <v>2</v>
      </c>
      <c r="F132" s="7" t="s">
        <v>747</v>
      </c>
      <c r="G132" s="7" t="s">
        <v>480</v>
      </c>
      <c r="H132" s="7" t="s">
        <v>824</v>
      </c>
      <c r="I132" s="15" t="n">
        <v>320.7</v>
      </c>
      <c r="J132" s="7" t="s">
        <v>749</v>
      </c>
      <c r="K132" s="16"/>
      <c r="L132" s="17" t="str">
        <f aca="false">IF(K132="","",K132-N(I132))</f>
        <v/>
      </c>
    </row>
    <row r="133" customFormat="false" ht="15" hidden="false" customHeight="false" outlineLevel="0" collapsed="false">
      <c r="A133" s="7" t="n">
        <v>5780</v>
      </c>
      <c r="B133" s="7" t="s">
        <v>75</v>
      </c>
      <c r="C133" s="7" t="s">
        <v>223</v>
      </c>
      <c r="D133" s="7" t="s">
        <v>77</v>
      </c>
      <c r="E133" s="7" t="n">
        <v>1</v>
      </c>
      <c r="F133" s="7" t="s">
        <v>740</v>
      </c>
      <c r="G133" s="7" t="s">
        <v>480</v>
      </c>
      <c r="H133" s="7" t="s">
        <v>824</v>
      </c>
      <c r="I133" s="15"/>
      <c r="J133" s="7" t="s">
        <v>743</v>
      </c>
      <c r="K133" s="16"/>
      <c r="L133" s="17" t="str">
        <f aca="false">IF(K133="","",K133-N(I133))</f>
        <v/>
      </c>
    </row>
    <row r="134" customFormat="false" ht="15" hidden="false" customHeight="false" outlineLevel="0" collapsed="false">
      <c r="A134" s="7" t="n">
        <v>5780</v>
      </c>
      <c r="B134" s="7" t="s">
        <v>75</v>
      </c>
      <c r="C134" s="7" t="s">
        <v>223</v>
      </c>
      <c r="D134" s="7" t="s">
        <v>77</v>
      </c>
      <c r="E134" s="7" t="n">
        <v>2</v>
      </c>
      <c r="F134" s="7" t="s">
        <v>744</v>
      </c>
      <c r="G134" s="7" t="s">
        <v>499</v>
      </c>
      <c r="H134" s="7" t="s">
        <v>825</v>
      </c>
      <c r="I134" s="15" t="n">
        <v>160.3</v>
      </c>
      <c r="J134" s="7" t="s">
        <v>746</v>
      </c>
      <c r="K134" s="16"/>
      <c r="L134" s="17" t="str">
        <f aca="false">IF(K134="","",K134-N(I134))</f>
        <v/>
      </c>
    </row>
    <row r="135" customFormat="false" ht="15" hidden="false" customHeight="false" outlineLevel="0" collapsed="false">
      <c r="A135" s="7" t="n">
        <v>5780</v>
      </c>
      <c r="B135" s="7" t="s">
        <v>75</v>
      </c>
      <c r="C135" s="7" t="s">
        <v>223</v>
      </c>
      <c r="D135" s="7" t="s">
        <v>77</v>
      </c>
      <c r="E135" s="7" t="n">
        <v>3</v>
      </c>
      <c r="F135" s="7" t="s">
        <v>747</v>
      </c>
      <c r="G135" s="7" t="s">
        <v>530</v>
      </c>
      <c r="H135" s="7" t="s">
        <v>826</v>
      </c>
      <c r="I135" s="15" t="n">
        <v>409.6</v>
      </c>
      <c r="J135" s="7" t="s">
        <v>749</v>
      </c>
      <c r="K135" s="16"/>
      <c r="L135" s="17" t="str">
        <f aca="false">IF(K135="","",K135-N(I135))</f>
        <v/>
      </c>
    </row>
    <row r="136" customFormat="false" ht="15" hidden="false" customHeight="false" outlineLevel="0" collapsed="false">
      <c r="A136" s="7" t="n">
        <v>5781</v>
      </c>
      <c r="B136" s="7" t="s">
        <v>61</v>
      </c>
      <c r="C136" s="7" t="s">
        <v>226</v>
      </c>
      <c r="D136" s="7" t="s">
        <v>93</v>
      </c>
      <c r="E136" s="7" t="n">
        <v>1</v>
      </c>
      <c r="F136" s="7" t="s">
        <v>744</v>
      </c>
      <c r="G136" s="7" t="s">
        <v>464</v>
      </c>
      <c r="H136" s="7" t="s">
        <v>827</v>
      </c>
      <c r="I136" s="15"/>
      <c r="J136" s="7" t="s">
        <v>746</v>
      </c>
      <c r="K136" s="16"/>
      <c r="L136" s="17" t="str">
        <f aca="false">IF(K136="","",K136-N(I136))</f>
        <v/>
      </c>
    </row>
    <row r="137" customFormat="false" ht="15" hidden="false" customHeight="false" outlineLevel="0" collapsed="false">
      <c r="A137" s="7" t="n">
        <v>5781</v>
      </c>
      <c r="B137" s="7" t="s">
        <v>61</v>
      </c>
      <c r="C137" s="7" t="s">
        <v>226</v>
      </c>
      <c r="D137" s="7" t="s">
        <v>93</v>
      </c>
      <c r="E137" s="7" t="n">
        <v>2</v>
      </c>
      <c r="F137" s="7" t="s">
        <v>747</v>
      </c>
      <c r="G137" s="7" t="s">
        <v>525</v>
      </c>
      <c r="H137" s="7" t="s">
        <v>828</v>
      </c>
      <c r="I137" s="15" t="n">
        <v>1395.3</v>
      </c>
      <c r="J137" s="7" t="s">
        <v>749</v>
      </c>
      <c r="K137" s="16"/>
      <c r="L137" s="17" t="str">
        <f aca="false">IF(K137="","",K137-N(I137))</f>
        <v/>
      </c>
    </row>
    <row r="138" customFormat="false" ht="15" hidden="false" customHeight="false" outlineLevel="0" collapsed="false">
      <c r="A138" s="7" t="n">
        <v>5781</v>
      </c>
      <c r="B138" s="7" t="s">
        <v>61</v>
      </c>
      <c r="C138" s="7" t="s">
        <v>228</v>
      </c>
      <c r="D138" s="7" t="s">
        <v>93</v>
      </c>
      <c r="E138" s="7" t="n">
        <v>1</v>
      </c>
      <c r="F138" s="7" t="s">
        <v>740</v>
      </c>
      <c r="G138" s="7" t="s">
        <v>525</v>
      </c>
      <c r="H138" s="7" t="s">
        <v>828</v>
      </c>
      <c r="I138" s="15"/>
      <c r="J138" s="7" t="s">
        <v>743</v>
      </c>
      <c r="K138" s="16"/>
      <c r="L138" s="17" t="str">
        <f aca="false">IF(K138="","",K138-N(I138))</f>
        <v/>
      </c>
    </row>
    <row r="139" customFormat="false" ht="15" hidden="false" customHeight="false" outlineLevel="0" collapsed="false">
      <c r="A139" s="7" t="n">
        <v>5781</v>
      </c>
      <c r="B139" s="7" t="s">
        <v>61</v>
      </c>
      <c r="C139" s="7" t="s">
        <v>228</v>
      </c>
      <c r="D139" s="7" t="s">
        <v>93</v>
      </c>
      <c r="E139" s="7" t="n">
        <v>2</v>
      </c>
      <c r="F139" s="7" t="s">
        <v>744</v>
      </c>
      <c r="G139" s="7" t="s">
        <v>480</v>
      </c>
      <c r="H139" s="7" t="s">
        <v>829</v>
      </c>
      <c r="I139" s="15" t="n">
        <v>58.1</v>
      </c>
      <c r="J139" s="7" t="s">
        <v>746</v>
      </c>
      <c r="K139" s="16"/>
      <c r="L139" s="17" t="str">
        <f aca="false">IF(K139="","",K139-N(I139))</f>
        <v/>
      </c>
    </row>
    <row r="140" customFormat="false" ht="15" hidden="false" customHeight="false" outlineLevel="0" collapsed="false">
      <c r="A140" s="7" t="n">
        <v>5781</v>
      </c>
      <c r="B140" s="7" t="s">
        <v>61</v>
      </c>
      <c r="C140" s="7" t="s">
        <v>228</v>
      </c>
      <c r="D140" s="7" t="s">
        <v>93</v>
      </c>
      <c r="E140" s="7" t="n">
        <v>3</v>
      </c>
      <c r="F140" s="7" t="s">
        <v>747</v>
      </c>
      <c r="G140" s="7" t="s">
        <v>530</v>
      </c>
      <c r="H140" s="7" t="s">
        <v>763</v>
      </c>
      <c r="I140" s="15" t="n">
        <v>1391.7</v>
      </c>
      <c r="J140" s="7" t="s">
        <v>749</v>
      </c>
      <c r="K140" s="16"/>
      <c r="L140" s="17" t="str">
        <f aca="false">IF(K140="","",K140-N(I140))</f>
        <v/>
      </c>
    </row>
    <row r="141" customFormat="false" ht="15" hidden="false" customHeight="false" outlineLevel="0" collapsed="false">
      <c r="A141" s="7" t="n">
        <v>5782</v>
      </c>
      <c r="B141" s="7" t="s">
        <v>61</v>
      </c>
      <c r="C141" s="7" t="s">
        <v>229</v>
      </c>
      <c r="D141" s="7" t="s">
        <v>81</v>
      </c>
      <c r="E141" s="7" t="n">
        <v>1</v>
      </c>
      <c r="F141" s="7" t="s">
        <v>744</v>
      </c>
      <c r="G141" s="7" t="s">
        <v>477</v>
      </c>
      <c r="H141" s="7" t="s">
        <v>830</v>
      </c>
      <c r="I141" s="15"/>
      <c r="J141" s="7" t="s">
        <v>746</v>
      </c>
      <c r="K141" s="16"/>
      <c r="L141" s="17" t="str">
        <f aca="false">IF(K141="","",K141-N(I141))</f>
        <v/>
      </c>
    </row>
    <row r="142" customFormat="false" ht="15" hidden="false" customHeight="false" outlineLevel="0" collapsed="false">
      <c r="A142" s="7" t="n">
        <v>5782</v>
      </c>
      <c r="B142" s="7" t="s">
        <v>61</v>
      </c>
      <c r="C142" s="7" t="s">
        <v>229</v>
      </c>
      <c r="D142" s="7" t="s">
        <v>81</v>
      </c>
      <c r="E142" s="7" t="n">
        <v>2</v>
      </c>
      <c r="F142" s="7" t="s">
        <v>747</v>
      </c>
      <c r="G142" s="7" t="s">
        <v>480</v>
      </c>
      <c r="H142" s="7" t="s">
        <v>831</v>
      </c>
      <c r="I142" s="15" t="n">
        <v>1618.9</v>
      </c>
      <c r="J142" s="7" t="s">
        <v>749</v>
      </c>
      <c r="K142" s="16"/>
      <c r="L142" s="17" t="str">
        <f aca="false">IF(K142="","",K142-N(I142))</f>
        <v/>
      </c>
    </row>
    <row r="143" customFormat="false" ht="15" hidden="false" customHeight="false" outlineLevel="0" collapsed="false">
      <c r="A143" s="7" t="n">
        <v>5782</v>
      </c>
      <c r="B143" s="7" t="s">
        <v>61</v>
      </c>
      <c r="C143" s="7" t="s">
        <v>230</v>
      </c>
      <c r="D143" s="7" t="s">
        <v>81</v>
      </c>
      <c r="E143" s="7" t="n">
        <v>1</v>
      </c>
      <c r="F143" s="7" t="s">
        <v>740</v>
      </c>
      <c r="G143" s="7" t="s">
        <v>480</v>
      </c>
      <c r="H143" s="7" t="s">
        <v>831</v>
      </c>
      <c r="I143" s="15"/>
      <c r="J143" s="7" t="s">
        <v>743</v>
      </c>
      <c r="K143" s="16"/>
      <c r="L143" s="17" t="str">
        <f aca="false">IF(K143="","",K143-N(I143))</f>
        <v/>
      </c>
    </row>
    <row r="144" customFormat="false" ht="15" hidden="false" customHeight="false" outlineLevel="0" collapsed="false">
      <c r="A144" s="7" t="n">
        <v>5782</v>
      </c>
      <c r="B144" s="7" t="s">
        <v>61</v>
      </c>
      <c r="C144" s="7" t="s">
        <v>230</v>
      </c>
      <c r="D144" s="7" t="s">
        <v>81</v>
      </c>
      <c r="E144" s="7" t="n">
        <v>2</v>
      </c>
      <c r="F144" s="7" t="s">
        <v>744</v>
      </c>
      <c r="G144" s="7" t="s">
        <v>508</v>
      </c>
      <c r="H144" s="7" t="s">
        <v>832</v>
      </c>
      <c r="I144" s="15" t="n">
        <v>178.5</v>
      </c>
      <c r="J144" s="7" t="s">
        <v>746</v>
      </c>
      <c r="K144" s="16"/>
      <c r="L144" s="17" t="str">
        <f aca="false">IF(K144="","",K144-N(I144))</f>
        <v/>
      </c>
    </row>
    <row r="145" customFormat="false" ht="15" hidden="false" customHeight="false" outlineLevel="0" collapsed="false">
      <c r="A145" s="7" t="n">
        <v>5782</v>
      </c>
      <c r="B145" s="7" t="s">
        <v>61</v>
      </c>
      <c r="C145" s="7" t="s">
        <v>230</v>
      </c>
      <c r="D145" s="7" t="s">
        <v>81</v>
      </c>
      <c r="E145" s="7" t="n">
        <v>3</v>
      </c>
      <c r="F145" s="7" t="s">
        <v>747</v>
      </c>
      <c r="G145" s="7" t="s">
        <v>517</v>
      </c>
      <c r="H145" s="7" t="s">
        <v>833</v>
      </c>
      <c r="I145" s="15" t="n">
        <v>1511.7</v>
      </c>
      <c r="J145" s="7" t="s">
        <v>749</v>
      </c>
      <c r="K145" s="16"/>
      <c r="L145" s="17" t="str">
        <f aca="false">IF(K145="","",K145-N(I145))</f>
        <v/>
      </c>
    </row>
    <row r="146" customFormat="false" ht="15" hidden="false" customHeight="false" outlineLevel="0" collapsed="false">
      <c r="A146" s="7" t="n">
        <v>5783</v>
      </c>
      <c r="B146" s="7" t="s">
        <v>75</v>
      </c>
      <c r="C146" s="7" t="s">
        <v>233</v>
      </c>
      <c r="D146" s="7" t="s">
        <v>84</v>
      </c>
      <c r="E146" s="7" t="n">
        <v>1</v>
      </c>
      <c r="F146" s="7" t="s">
        <v>744</v>
      </c>
      <c r="G146" s="7" t="s">
        <v>525</v>
      </c>
      <c r="H146" s="7" t="s">
        <v>752</v>
      </c>
      <c r="I146" s="15"/>
      <c r="J146" s="7" t="s">
        <v>746</v>
      </c>
      <c r="K146" s="16"/>
      <c r="L146" s="17" t="str">
        <f aca="false">IF(K146="","",K146-N(I146))</f>
        <v/>
      </c>
    </row>
    <row r="147" customFormat="false" ht="15" hidden="false" customHeight="false" outlineLevel="0" collapsed="false">
      <c r="A147" s="7" t="n">
        <v>5783</v>
      </c>
      <c r="B147" s="7" t="s">
        <v>75</v>
      </c>
      <c r="C147" s="7" t="s">
        <v>233</v>
      </c>
      <c r="D147" s="7" t="s">
        <v>84</v>
      </c>
      <c r="E147" s="7" t="n">
        <v>2</v>
      </c>
      <c r="F147" s="7" t="s">
        <v>747</v>
      </c>
      <c r="G147" s="7" t="s">
        <v>530</v>
      </c>
      <c r="H147" s="7" t="s">
        <v>742</v>
      </c>
      <c r="I147" s="15" t="n">
        <v>1890.2</v>
      </c>
      <c r="J147" s="7" t="s">
        <v>749</v>
      </c>
      <c r="K147" s="16"/>
      <c r="L147" s="17" t="str">
        <f aca="false">IF(K147="","",K147-N(I147))</f>
        <v/>
      </c>
    </row>
    <row r="148" customFormat="false" ht="15" hidden="false" customHeight="false" outlineLevel="0" collapsed="false">
      <c r="A148" s="7" t="n">
        <v>5783</v>
      </c>
      <c r="B148" s="7" t="s">
        <v>75</v>
      </c>
      <c r="C148" s="7" t="s">
        <v>234</v>
      </c>
      <c r="D148" s="7" t="s">
        <v>84</v>
      </c>
      <c r="E148" s="7" t="n">
        <v>1</v>
      </c>
      <c r="F148" s="7" t="s">
        <v>740</v>
      </c>
      <c r="G148" s="7" t="s">
        <v>530</v>
      </c>
      <c r="H148" s="7" t="s">
        <v>742</v>
      </c>
      <c r="I148" s="15"/>
      <c r="J148" s="7" t="s">
        <v>743</v>
      </c>
      <c r="K148" s="16"/>
      <c r="L148" s="17" t="str">
        <f aca="false">IF(K148="","",K148-N(I148))</f>
        <v/>
      </c>
    </row>
    <row r="149" customFormat="false" ht="15" hidden="false" customHeight="false" outlineLevel="0" collapsed="false">
      <c r="A149" s="7" t="n">
        <v>5783</v>
      </c>
      <c r="B149" s="7" t="s">
        <v>75</v>
      </c>
      <c r="C149" s="7" t="s">
        <v>234</v>
      </c>
      <c r="D149" s="7" t="s">
        <v>84</v>
      </c>
      <c r="E149" s="7" t="n">
        <v>2</v>
      </c>
      <c r="F149" s="7" t="s">
        <v>744</v>
      </c>
      <c r="G149" s="7" t="s">
        <v>530</v>
      </c>
      <c r="H149" s="7" t="s">
        <v>834</v>
      </c>
      <c r="I149" s="15"/>
      <c r="J149" s="7" t="s">
        <v>746</v>
      </c>
      <c r="K149" s="16"/>
      <c r="L149" s="17" t="str">
        <f aca="false">IF(K149="","",K149-N(I149))</f>
        <v/>
      </c>
    </row>
    <row r="150" customFormat="false" ht="15" hidden="false" customHeight="false" outlineLevel="0" collapsed="false">
      <c r="A150" s="7" t="n">
        <v>5783</v>
      </c>
      <c r="B150" s="7" t="s">
        <v>75</v>
      </c>
      <c r="C150" s="7" t="s">
        <v>234</v>
      </c>
      <c r="D150" s="7" t="s">
        <v>84</v>
      </c>
      <c r="E150" s="7" t="n">
        <v>3</v>
      </c>
      <c r="F150" s="7" t="s">
        <v>747</v>
      </c>
      <c r="G150" s="7" t="s">
        <v>517</v>
      </c>
      <c r="H150" s="7" t="s">
        <v>835</v>
      </c>
      <c r="I150" s="15" t="n">
        <v>1548.4</v>
      </c>
      <c r="J150" s="7" t="s">
        <v>749</v>
      </c>
      <c r="K150" s="16"/>
      <c r="L150" s="17" t="str">
        <f aca="false">IF(K150="","",K150-N(I150))</f>
        <v/>
      </c>
    </row>
    <row r="151" customFormat="false" ht="15" hidden="false" customHeight="false" outlineLevel="0" collapsed="false">
      <c r="A151" s="7" t="n">
        <v>5783</v>
      </c>
      <c r="B151" s="7" t="s">
        <v>75</v>
      </c>
      <c r="C151" s="7" t="s">
        <v>234</v>
      </c>
      <c r="D151" s="7" t="s">
        <v>84</v>
      </c>
      <c r="E151" s="7" t="n">
        <v>4</v>
      </c>
      <c r="F151" s="7" t="s">
        <v>747</v>
      </c>
      <c r="G151" s="7" t="s">
        <v>517</v>
      </c>
      <c r="H151" s="7" t="s">
        <v>836</v>
      </c>
      <c r="I151" s="15" t="n">
        <v>38.2</v>
      </c>
      <c r="J151" s="7" t="s">
        <v>749</v>
      </c>
      <c r="K151" s="16"/>
      <c r="L151" s="17" t="str">
        <f aca="false">IF(K151="","",K151-N(I151))</f>
        <v/>
      </c>
    </row>
    <row r="152" customFormat="false" ht="15" hidden="false" customHeight="false" outlineLevel="0" collapsed="false">
      <c r="A152" s="7" t="n">
        <v>5783</v>
      </c>
      <c r="B152" s="7" t="s">
        <v>75</v>
      </c>
      <c r="C152" s="7" t="s">
        <v>234</v>
      </c>
      <c r="D152" s="7" t="s">
        <v>84</v>
      </c>
      <c r="E152" s="7" t="n">
        <v>5</v>
      </c>
      <c r="F152" s="7" t="s">
        <v>740</v>
      </c>
      <c r="G152" s="7" t="s">
        <v>542</v>
      </c>
      <c r="H152" s="7" t="s">
        <v>750</v>
      </c>
      <c r="I152" s="15" t="n">
        <v>335.7</v>
      </c>
      <c r="J152" s="7" t="s">
        <v>751</v>
      </c>
      <c r="K152" s="16"/>
      <c r="L152" s="17" t="str">
        <f aca="false">IF(K152="","",K152-N(I152))</f>
        <v/>
      </c>
    </row>
    <row r="153" customFormat="false" ht="15" hidden="false" customHeight="false" outlineLevel="0" collapsed="false">
      <c r="A153" s="7" t="n">
        <v>5784</v>
      </c>
      <c r="B153" s="7" t="s">
        <v>75</v>
      </c>
      <c r="C153" s="7" t="s">
        <v>236</v>
      </c>
      <c r="D153" s="7" t="s">
        <v>67</v>
      </c>
      <c r="E153" s="7" t="n">
        <v>1</v>
      </c>
      <c r="F153" s="7" t="s">
        <v>744</v>
      </c>
      <c r="G153" s="7" t="s">
        <v>464</v>
      </c>
      <c r="H153" s="7" t="s">
        <v>837</v>
      </c>
      <c r="I153" s="15"/>
      <c r="J153" s="7" t="s">
        <v>746</v>
      </c>
      <c r="K153" s="16"/>
      <c r="L153" s="17" t="str">
        <f aca="false">IF(K153="","",K153-N(I153))</f>
        <v/>
      </c>
    </row>
    <row r="154" customFormat="false" ht="15" hidden="false" customHeight="false" outlineLevel="0" collapsed="false">
      <c r="A154" s="7" t="n">
        <v>5784</v>
      </c>
      <c r="B154" s="7" t="s">
        <v>75</v>
      </c>
      <c r="C154" s="7" t="s">
        <v>236</v>
      </c>
      <c r="D154" s="7" t="s">
        <v>67</v>
      </c>
      <c r="E154" s="7" t="n">
        <v>2</v>
      </c>
      <c r="F154" s="7" t="s">
        <v>747</v>
      </c>
      <c r="G154" s="7" t="s">
        <v>477</v>
      </c>
      <c r="H154" s="7" t="s">
        <v>838</v>
      </c>
      <c r="I154" s="15" t="n">
        <v>1319</v>
      </c>
      <c r="J154" s="7" t="s">
        <v>749</v>
      </c>
      <c r="K154" s="16"/>
      <c r="L154" s="17" t="str">
        <f aca="false">IF(K154="","",K154-N(I154))</f>
        <v/>
      </c>
    </row>
    <row r="155" customFormat="false" ht="15" hidden="false" customHeight="false" outlineLevel="0" collapsed="false">
      <c r="A155" s="7" t="n">
        <v>5784</v>
      </c>
      <c r="B155" s="7" t="s">
        <v>75</v>
      </c>
      <c r="C155" s="7" t="s">
        <v>237</v>
      </c>
      <c r="D155" s="7" t="s">
        <v>67</v>
      </c>
      <c r="E155" s="7" t="n">
        <v>1</v>
      </c>
      <c r="F155" s="7" t="s">
        <v>740</v>
      </c>
      <c r="G155" s="7" t="s">
        <v>477</v>
      </c>
      <c r="H155" s="7" t="s">
        <v>838</v>
      </c>
      <c r="I155" s="15"/>
      <c r="J155" s="7" t="s">
        <v>743</v>
      </c>
      <c r="K155" s="16"/>
      <c r="L155" s="17" t="str">
        <f aca="false">IF(K155="","",K155-N(I155))</f>
        <v/>
      </c>
    </row>
    <row r="156" customFormat="false" ht="15" hidden="false" customHeight="false" outlineLevel="0" collapsed="false">
      <c r="A156" s="7" t="n">
        <v>5784</v>
      </c>
      <c r="B156" s="7" t="s">
        <v>75</v>
      </c>
      <c r="C156" s="7" t="s">
        <v>237</v>
      </c>
      <c r="D156" s="7" t="s">
        <v>67</v>
      </c>
      <c r="E156" s="7" t="n">
        <v>2</v>
      </c>
      <c r="F156" s="7" t="s">
        <v>744</v>
      </c>
      <c r="G156" s="7" t="s">
        <v>525</v>
      </c>
      <c r="H156" s="7" t="s">
        <v>839</v>
      </c>
      <c r="I156" s="15" t="n">
        <v>121.6</v>
      </c>
      <c r="J156" s="7" t="s">
        <v>746</v>
      </c>
      <c r="K156" s="16"/>
      <c r="L156" s="17" t="str">
        <f aca="false">IF(K156="","",K156-N(I156))</f>
        <v/>
      </c>
    </row>
    <row r="157" customFormat="false" ht="15" hidden="false" customHeight="false" outlineLevel="0" collapsed="false">
      <c r="A157" s="7" t="n">
        <v>5784</v>
      </c>
      <c r="B157" s="7" t="s">
        <v>75</v>
      </c>
      <c r="C157" s="7" t="s">
        <v>237</v>
      </c>
      <c r="D157" s="7" t="s">
        <v>67</v>
      </c>
      <c r="E157" s="7" t="n">
        <v>3</v>
      </c>
      <c r="F157" s="7" t="s">
        <v>747</v>
      </c>
      <c r="G157" s="7" t="s">
        <v>480</v>
      </c>
      <c r="H157" s="7" t="s">
        <v>840</v>
      </c>
      <c r="I157" s="15" t="n">
        <v>512.9</v>
      </c>
      <c r="J157" s="7" t="s">
        <v>749</v>
      </c>
      <c r="K157" s="16"/>
      <c r="L157" s="17" t="str">
        <f aca="false">IF(K157="","",K157-N(I157))</f>
        <v/>
      </c>
    </row>
    <row r="158" customFormat="false" ht="15" hidden="false" customHeight="false" outlineLevel="0" collapsed="false">
      <c r="A158" s="7" t="n">
        <v>5784</v>
      </c>
      <c r="B158" s="7" t="s">
        <v>75</v>
      </c>
      <c r="C158" s="7" t="s">
        <v>237</v>
      </c>
      <c r="D158" s="7" t="s">
        <v>67</v>
      </c>
      <c r="E158" s="7" t="n">
        <v>4</v>
      </c>
      <c r="F158" s="7" t="s">
        <v>747</v>
      </c>
      <c r="G158" s="7" t="s">
        <v>480</v>
      </c>
      <c r="H158" s="7" t="s">
        <v>841</v>
      </c>
      <c r="I158" s="15" t="n">
        <v>29.2</v>
      </c>
      <c r="J158" s="7" t="s">
        <v>749</v>
      </c>
      <c r="K158" s="16"/>
      <c r="L158" s="17" t="str">
        <f aca="false">IF(K158="","",K158-N(I158))</f>
        <v/>
      </c>
    </row>
    <row r="159" customFormat="false" ht="15" hidden="false" customHeight="false" outlineLevel="0" collapsed="false">
      <c r="A159" s="7" t="n">
        <v>5784</v>
      </c>
      <c r="B159" s="7" t="s">
        <v>75</v>
      </c>
      <c r="C159" s="7" t="s">
        <v>239</v>
      </c>
      <c r="D159" s="7" t="s">
        <v>67</v>
      </c>
      <c r="E159" s="7" t="n">
        <v>1</v>
      </c>
      <c r="F159" s="7" t="s">
        <v>740</v>
      </c>
      <c r="G159" s="7" t="s">
        <v>480</v>
      </c>
      <c r="H159" s="7" t="s">
        <v>841</v>
      </c>
      <c r="I159" s="15"/>
      <c r="J159" s="7" t="s">
        <v>743</v>
      </c>
      <c r="K159" s="16"/>
      <c r="L159" s="17" t="str">
        <f aca="false">IF(K159="","",K159-N(I159))</f>
        <v/>
      </c>
    </row>
    <row r="160" customFormat="false" ht="15" hidden="false" customHeight="false" outlineLevel="0" collapsed="false">
      <c r="A160" s="7" t="n">
        <v>5784</v>
      </c>
      <c r="B160" s="7" t="s">
        <v>75</v>
      </c>
      <c r="C160" s="7" t="s">
        <v>239</v>
      </c>
      <c r="D160" s="7" t="s">
        <v>67</v>
      </c>
      <c r="E160" s="7" t="n">
        <v>2</v>
      </c>
      <c r="F160" s="7" t="s">
        <v>744</v>
      </c>
      <c r="G160" s="7" t="s">
        <v>499</v>
      </c>
      <c r="H160" s="7" t="s">
        <v>842</v>
      </c>
      <c r="I160" s="15" t="n">
        <v>81.1</v>
      </c>
      <c r="J160" s="7" t="s">
        <v>746</v>
      </c>
      <c r="K160" s="16"/>
      <c r="L160" s="17" t="str">
        <f aca="false">IF(K160="","",K160-N(I160))</f>
        <v/>
      </c>
    </row>
    <row r="161" customFormat="false" ht="15" hidden="false" customHeight="false" outlineLevel="0" collapsed="false">
      <c r="A161" s="7" t="n">
        <v>5784</v>
      </c>
      <c r="B161" s="7" t="s">
        <v>75</v>
      </c>
      <c r="C161" s="7" t="s">
        <v>239</v>
      </c>
      <c r="D161" s="7" t="s">
        <v>67</v>
      </c>
      <c r="E161" s="7" t="n">
        <v>3</v>
      </c>
      <c r="F161" s="7" t="s">
        <v>747</v>
      </c>
      <c r="G161" s="7" t="s">
        <v>530</v>
      </c>
      <c r="H161" s="7" t="s">
        <v>843</v>
      </c>
      <c r="I161" s="15" t="n">
        <v>1607.9</v>
      </c>
      <c r="J161" s="7" t="s">
        <v>749</v>
      </c>
      <c r="K161" s="16"/>
      <c r="L161" s="17" t="str">
        <f aca="false">IF(K161="","",K161-N(I161))</f>
        <v/>
      </c>
    </row>
    <row r="162" customFormat="false" ht="15" hidden="false" customHeight="false" outlineLevel="0" collapsed="false">
      <c r="A162" s="7" t="n">
        <v>5784</v>
      </c>
      <c r="B162" s="7" t="s">
        <v>75</v>
      </c>
      <c r="C162" s="7" t="s">
        <v>239</v>
      </c>
      <c r="D162" s="7" t="s">
        <v>67</v>
      </c>
      <c r="E162" s="7" t="n">
        <v>4</v>
      </c>
      <c r="F162" s="7" t="s">
        <v>740</v>
      </c>
      <c r="G162" s="7" t="s">
        <v>517</v>
      </c>
      <c r="H162" s="7" t="s">
        <v>750</v>
      </c>
      <c r="I162" s="15" t="n">
        <v>195.6</v>
      </c>
      <c r="J162" s="7" t="s">
        <v>751</v>
      </c>
      <c r="K162" s="16"/>
      <c r="L162" s="17" t="str">
        <f aca="false">IF(K162="","",K162-N(I162))</f>
        <v/>
      </c>
    </row>
    <row r="163" customFormat="false" ht="15" hidden="false" customHeight="false" outlineLevel="0" collapsed="false">
      <c r="A163" s="7" t="n">
        <v>5785</v>
      </c>
      <c r="B163" s="7" t="s">
        <v>61</v>
      </c>
      <c r="C163" s="7" t="s">
        <v>241</v>
      </c>
      <c r="D163" s="7" t="s">
        <v>86</v>
      </c>
      <c r="E163" s="7" t="n">
        <v>1</v>
      </c>
      <c r="F163" s="7" t="s">
        <v>744</v>
      </c>
      <c r="G163" s="7" t="s">
        <v>477</v>
      </c>
      <c r="H163" s="7" t="s">
        <v>819</v>
      </c>
      <c r="I163" s="15"/>
      <c r="J163" s="7" t="s">
        <v>746</v>
      </c>
      <c r="K163" s="16"/>
      <c r="L163" s="17" t="str">
        <f aca="false">IF(K163="","",K163-N(I163))</f>
        <v/>
      </c>
    </row>
    <row r="164" customFormat="false" ht="15" hidden="false" customHeight="false" outlineLevel="0" collapsed="false">
      <c r="A164" s="7" t="n">
        <v>5785</v>
      </c>
      <c r="B164" s="7" t="s">
        <v>61</v>
      </c>
      <c r="C164" s="7" t="s">
        <v>241</v>
      </c>
      <c r="D164" s="7" t="s">
        <v>86</v>
      </c>
      <c r="E164" s="7" t="n">
        <v>2</v>
      </c>
      <c r="F164" s="7" t="s">
        <v>747</v>
      </c>
      <c r="G164" s="7" t="s">
        <v>480</v>
      </c>
      <c r="H164" s="7" t="s">
        <v>844</v>
      </c>
      <c r="I164" s="15" t="n">
        <v>1481.8</v>
      </c>
      <c r="J164" s="7" t="s">
        <v>749</v>
      </c>
      <c r="K164" s="16"/>
      <c r="L164" s="17" t="str">
        <f aca="false">IF(K164="","",K164-N(I164))</f>
        <v/>
      </c>
    </row>
    <row r="165" customFormat="false" ht="15" hidden="false" customHeight="false" outlineLevel="0" collapsed="false">
      <c r="A165" s="7" t="n">
        <v>5785</v>
      </c>
      <c r="B165" s="7" t="s">
        <v>61</v>
      </c>
      <c r="C165" s="7" t="s">
        <v>242</v>
      </c>
      <c r="D165" s="7" t="s">
        <v>86</v>
      </c>
      <c r="E165" s="7" t="n">
        <v>1</v>
      </c>
      <c r="F165" s="7" t="s">
        <v>740</v>
      </c>
      <c r="G165" s="7" t="s">
        <v>480</v>
      </c>
      <c r="H165" s="7" t="s">
        <v>844</v>
      </c>
      <c r="I165" s="15"/>
      <c r="J165" s="7" t="s">
        <v>743</v>
      </c>
      <c r="K165" s="16"/>
      <c r="L165" s="17" t="str">
        <f aca="false">IF(K165="","",K165-N(I165))</f>
        <v/>
      </c>
    </row>
    <row r="166" customFormat="false" ht="15" hidden="false" customHeight="false" outlineLevel="0" collapsed="false">
      <c r="A166" s="7" t="n">
        <v>5785</v>
      </c>
      <c r="B166" s="7" t="s">
        <v>61</v>
      </c>
      <c r="C166" s="7" t="s">
        <v>242</v>
      </c>
      <c r="D166" s="7" t="s">
        <v>86</v>
      </c>
      <c r="E166" s="7" t="n">
        <v>2</v>
      </c>
      <c r="F166" s="7" t="s">
        <v>744</v>
      </c>
      <c r="G166" s="7" t="s">
        <v>530</v>
      </c>
      <c r="H166" s="7" t="s">
        <v>845</v>
      </c>
      <c r="I166" s="15" t="n">
        <v>126.9</v>
      </c>
      <c r="J166" s="7" t="s">
        <v>746</v>
      </c>
      <c r="K166" s="16"/>
      <c r="L166" s="17" t="str">
        <f aca="false">IF(K166="","",K166-N(I166))</f>
        <v/>
      </c>
    </row>
    <row r="167" customFormat="false" ht="15" hidden="false" customHeight="false" outlineLevel="0" collapsed="false">
      <c r="A167" s="7" t="n">
        <v>5785</v>
      </c>
      <c r="B167" s="7" t="s">
        <v>61</v>
      </c>
      <c r="C167" s="7" t="s">
        <v>242</v>
      </c>
      <c r="D167" s="7" t="s">
        <v>86</v>
      </c>
      <c r="E167" s="7" t="n">
        <v>3</v>
      </c>
      <c r="F167" s="7" t="s">
        <v>747</v>
      </c>
      <c r="G167" s="7" t="s">
        <v>508</v>
      </c>
      <c r="H167" s="7" t="s">
        <v>846</v>
      </c>
      <c r="I167" s="15" t="n">
        <v>125.5</v>
      </c>
      <c r="J167" s="7" t="s">
        <v>749</v>
      </c>
      <c r="K167" s="16"/>
      <c r="L167" s="17" t="str">
        <f aca="false">IF(K167="","",K167-N(I167))</f>
        <v/>
      </c>
    </row>
    <row r="168" customFormat="false" ht="15" hidden="false" customHeight="false" outlineLevel="0" collapsed="false">
      <c r="A168" s="7" t="n">
        <v>5785</v>
      </c>
      <c r="B168" s="7" t="s">
        <v>61</v>
      </c>
      <c r="C168" s="7" t="s">
        <v>242</v>
      </c>
      <c r="D168" s="7" t="s">
        <v>86</v>
      </c>
      <c r="E168" s="7" t="n">
        <v>4</v>
      </c>
      <c r="F168" s="7" t="s">
        <v>747</v>
      </c>
      <c r="G168" s="7" t="s">
        <v>508</v>
      </c>
      <c r="H168" s="7" t="s">
        <v>847</v>
      </c>
      <c r="I168" s="15" t="n">
        <v>435.6</v>
      </c>
      <c r="J168" s="7" t="s">
        <v>749</v>
      </c>
      <c r="K168" s="16"/>
      <c r="L168" s="17" t="str">
        <f aca="false">IF(K168="","",K168-N(I168))</f>
        <v/>
      </c>
    </row>
    <row r="169" customFormat="false" ht="15" hidden="false" customHeight="false" outlineLevel="0" collapsed="false">
      <c r="A169" s="7" t="n">
        <v>5785</v>
      </c>
      <c r="B169" s="7" t="s">
        <v>61</v>
      </c>
      <c r="C169" s="7" t="s">
        <v>244</v>
      </c>
      <c r="D169" s="7" t="s">
        <v>86</v>
      </c>
      <c r="E169" s="7" t="n">
        <v>1</v>
      </c>
      <c r="F169" s="7" t="s">
        <v>740</v>
      </c>
      <c r="G169" s="7" t="s">
        <v>508</v>
      </c>
      <c r="H169" s="7" t="s">
        <v>847</v>
      </c>
      <c r="I169" s="15"/>
      <c r="J169" s="7" t="s">
        <v>743</v>
      </c>
      <c r="K169" s="16"/>
      <c r="L169" s="17" t="str">
        <f aca="false">IF(K169="","",K169-N(I169))</f>
        <v/>
      </c>
    </row>
    <row r="170" customFormat="false" ht="15" hidden="false" customHeight="false" outlineLevel="0" collapsed="false">
      <c r="A170" s="7" t="n">
        <v>5785</v>
      </c>
      <c r="B170" s="7" t="s">
        <v>61</v>
      </c>
      <c r="C170" s="7" t="s">
        <v>244</v>
      </c>
      <c r="D170" s="7" t="s">
        <v>86</v>
      </c>
      <c r="E170" s="7" t="n">
        <v>2</v>
      </c>
      <c r="F170" s="7" t="s">
        <v>744</v>
      </c>
      <c r="G170" s="7" t="s">
        <v>517</v>
      </c>
      <c r="H170" s="7" t="s">
        <v>848</v>
      </c>
      <c r="I170" s="15" t="n">
        <v>144.3</v>
      </c>
      <c r="J170" s="7" t="s">
        <v>746</v>
      </c>
      <c r="K170" s="16"/>
      <c r="L170" s="17" t="str">
        <f aca="false">IF(K170="","",K170-N(I170))</f>
        <v/>
      </c>
    </row>
    <row r="171" customFormat="false" ht="15" hidden="false" customHeight="false" outlineLevel="0" collapsed="false">
      <c r="A171" s="7" t="n">
        <v>5785</v>
      </c>
      <c r="B171" s="7" t="s">
        <v>61</v>
      </c>
      <c r="C171" s="7" t="s">
        <v>244</v>
      </c>
      <c r="D171" s="7" t="s">
        <v>86</v>
      </c>
      <c r="E171" s="7" t="n">
        <v>3</v>
      </c>
      <c r="F171" s="7" t="s">
        <v>747</v>
      </c>
      <c r="G171" s="7" t="s">
        <v>545</v>
      </c>
      <c r="H171" s="7" t="s">
        <v>849</v>
      </c>
      <c r="I171" s="15" t="n">
        <v>776.3</v>
      </c>
      <c r="J171" s="7" t="s">
        <v>749</v>
      </c>
      <c r="K171" s="16"/>
      <c r="L171" s="17" t="str">
        <f aca="false">IF(K171="","",K171-N(I171))</f>
        <v/>
      </c>
    </row>
    <row r="172" customFormat="false" ht="15" hidden="false" customHeight="false" outlineLevel="0" collapsed="false">
      <c r="A172" s="7" t="n">
        <v>5785</v>
      </c>
      <c r="B172" s="7" t="s">
        <v>61</v>
      </c>
      <c r="C172" s="7" t="s">
        <v>244</v>
      </c>
      <c r="D172" s="7" t="s">
        <v>86</v>
      </c>
      <c r="E172" s="7" t="n">
        <v>4</v>
      </c>
      <c r="F172" s="7" t="s">
        <v>740</v>
      </c>
      <c r="G172" s="7" t="s">
        <v>545</v>
      </c>
      <c r="H172" s="7" t="s">
        <v>750</v>
      </c>
      <c r="I172" s="15" t="n">
        <v>295.5</v>
      </c>
      <c r="J172" s="7" t="s">
        <v>751</v>
      </c>
      <c r="K172" s="16"/>
      <c r="L172" s="17" t="str">
        <f aca="false">IF(K172="","",K172-N(I172))</f>
        <v/>
      </c>
    </row>
    <row r="173" customFormat="false" ht="15" hidden="false" customHeight="false" outlineLevel="0" collapsed="false">
      <c r="A173" s="7" t="n">
        <v>5786</v>
      </c>
      <c r="B173" s="7" t="s">
        <v>61</v>
      </c>
      <c r="C173" s="7" t="s">
        <v>246</v>
      </c>
      <c r="D173" s="7" t="s">
        <v>88</v>
      </c>
      <c r="E173" s="7" t="n">
        <v>1</v>
      </c>
      <c r="F173" s="7" t="s">
        <v>744</v>
      </c>
      <c r="G173" s="7" t="s">
        <v>480</v>
      </c>
      <c r="H173" s="7" t="s">
        <v>819</v>
      </c>
      <c r="I173" s="15"/>
      <c r="J173" s="7" t="s">
        <v>746</v>
      </c>
      <c r="K173" s="16"/>
      <c r="L173" s="17" t="str">
        <f aca="false">IF(K173="","",K173-N(I173))</f>
        <v/>
      </c>
    </row>
    <row r="174" customFormat="false" ht="15" hidden="false" customHeight="false" outlineLevel="0" collapsed="false">
      <c r="A174" s="7" t="n">
        <v>5786</v>
      </c>
      <c r="B174" s="7" t="s">
        <v>61</v>
      </c>
      <c r="C174" s="7" t="s">
        <v>246</v>
      </c>
      <c r="D174" s="7" t="s">
        <v>88</v>
      </c>
      <c r="E174" s="7" t="n">
        <v>2</v>
      </c>
      <c r="F174" s="7" t="s">
        <v>747</v>
      </c>
      <c r="G174" s="7" t="s">
        <v>530</v>
      </c>
      <c r="H174" s="7" t="s">
        <v>850</v>
      </c>
      <c r="I174" s="15" t="n">
        <v>1111.6</v>
      </c>
      <c r="J174" s="7" t="s">
        <v>749</v>
      </c>
      <c r="K174" s="16"/>
      <c r="L174" s="17" t="str">
        <f aca="false">IF(K174="","",K174-N(I174))</f>
        <v/>
      </c>
    </row>
    <row r="175" customFormat="false" ht="15" hidden="false" customHeight="false" outlineLevel="0" collapsed="false">
      <c r="A175" s="7" t="n">
        <v>5786</v>
      </c>
      <c r="B175" s="7" t="s">
        <v>61</v>
      </c>
      <c r="C175" s="7" t="s">
        <v>247</v>
      </c>
      <c r="D175" s="7" t="s">
        <v>88</v>
      </c>
      <c r="E175" s="7" t="n">
        <v>1</v>
      </c>
      <c r="F175" s="7" t="s">
        <v>740</v>
      </c>
      <c r="G175" s="7" t="s">
        <v>530</v>
      </c>
      <c r="H175" s="7" t="s">
        <v>850</v>
      </c>
      <c r="I175" s="15"/>
      <c r="J175" s="7" t="s">
        <v>743</v>
      </c>
      <c r="K175" s="16"/>
      <c r="L175" s="17" t="str">
        <f aca="false">IF(K175="","",K175-N(I175))</f>
        <v/>
      </c>
    </row>
    <row r="176" customFormat="false" ht="15" hidden="false" customHeight="false" outlineLevel="0" collapsed="false">
      <c r="A176" s="7" t="n">
        <v>5786</v>
      </c>
      <c r="B176" s="7" t="s">
        <v>61</v>
      </c>
      <c r="C176" s="7" t="s">
        <v>247</v>
      </c>
      <c r="D176" s="7" t="s">
        <v>88</v>
      </c>
      <c r="E176" s="7" t="n">
        <v>2</v>
      </c>
      <c r="F176" s="7" t="s">
        <v>744</v>
      </c>
      <c r="G176" s="7" t="s">
        <v>517</v>
      </c>
      <c r="H176" s="7" t="s">
        <v>851</v>
      </c>
      <c r="I176" s="15" t="n">
        <v>154</v>
      </c>
      <c r="J176" s="7" t="s">
        <v>746</v>
      </c>
      <c r="K176" s="16"/>
      <c r="L176" s="17" t="str">
        <f aca="false">IF(K176="","",K176-N(I176))</f>
        <v/>
      </c>
    </row>
    <row r="177" customFormat="false" ht="15" hidden="false" customHeight="false" outlineLevel="0" collapsed="false">
      <c r="A177" s="7" t="n">
        <v>5786</v>
      </c>
      <c r="B177" s="7" t="s">
        <v>61</v>
      </c>
      <c r="C177" s="7" t="s">
        <v>247</v>
      </c>
      <c r="D177" s="7" t="s">
        <v>88</v>
      </c>
      <c r="E177" s="7" t="n">
        <v>3</v>
      </c>
      <c r="F177" s="7" t="s">
        <v>747</v>
      </c>
      <c r="G177" s="7" t="s">
        <v>545</v>
      </c>
      <c r="H177" s="7" t="s">
        <v>852</v>
      </c>
      <c r="I177" s="15" t="n">
        <v>1043.4</v>
      </c>
      <c r="J177" s="7" t="s">
        <v>749</v>
      </c>
      <c r="K177" s="16"/>
      <c r="L177" s="17" t="str">
        <f aca="false">IF(K177="","",K177-N(I177))</f>
        <v/>
      </c>
    </row>
    <row r="178" customFormat="false" ht="15" hidden="false" customHeight="false" outlineLevel="0" collapsed="false">
      <c r="A178" s="7" t="n">
        <v>5787</v>
      </c>
      <c r="B178" s="7" t="s">
        <v>61</v>
      </c>
      <c r="C178" s="7" t="s">
        <v>248</v>
      </c>
      <c r="D178" s="7" t="s">
        <v>71</v>
      </c>
      <c r="E178" s="7" t="n">
        <v>1</v>
      </c>
      <c r="F178" s="7" t="s">
        <v>740</v>
      </c>
      <c r="G178" s="7" t="s">
        <v>508</v>
      </c>
      <c r="H178" s="7" t="s">
        <v>853</v>
      </c>
      <c r="I178" s="15"/>
      <c r="J178" s="7" t="s">
        <v>743</v>
      </c>
      <c r="K178" s="16"/>
      <c r="L178" s="17" t="str">
        <f aca="false">IF(K178="","",K178-N(I178))</f>
        <v/>
      </c>
    </row>
    <row r="179" customFormat="false" ht="15" hidden="false" customHeight="false" outlineLevel="0" collapsed="false">
      <c r="A179" s="7" t="n">
        <v>5787</v>
      </c>
      <c r="B179" s="7" t="s">
        <v>61</v>
      </c>
      <c r="C179" s="7" t="s">
        <v>248</v>
      </c>
      <c r="D179" s="7" t="s">
        <v>71</v>
      </c>
      <c r="E179" s="7" t="n">
        <v>2</v>
      </c>
      <c r="F179" s="7" t="s">
        <v>744</v>
      </c>
      <c r="G179" s="7" t="s">
        <v>542</v>
      </c>
      <c r="H179" s="7" t="s">
        <v>854</v>
      </c>
      <c r="I179" s="15" t="n">
        <v>84</v>
      </c>
      <c r="J179" s="7" t="s">
        <v>746</v>
      </c>
      <c r="K179" s="16"/>
      <c r="L179" s="17" t="str">
        <f aca="false">IF(K179="","",K179-N(I179))</f>
        <v/>
      </c>
    </row>
    <row r="180" customFormat="false" ht="15" hidden="false" customHeight="false" outlineLevel="0" collapsed="false">
      <c r="A180" s="7" t="n">
        <v>5787</v>
      </c>
      <c r="B180" s="7" t="s">
        <v>61</v>
      </c>
      <c r="C180" s="7" t="s">
        <v>248</v>
      </c>
      <c r="D180" s="7" t="s">
        <v>71</v>
      </c>
      <c r="E180" s="7" t="n">
        <v>3</v>
      </c>
      <c r="F180" s="7" t="s">
        <v>747</v>
      </c>
      <c r="G180" s="7" t="s">
        <v>576</v>
      </c>
      <c r="H180" s="7" t="s">
        <v>855</v>
      </c>
      <c r="I180" s="15" t="n">
        <v>745.5</v>
      </c>
      <c r="J180" s="7" t="s">
        <v>749</v>
      </c>
      <c r="K180" s="16"/>
      <c r="L180" s="17" t="str">
        <f aca="false">IF(K180="","",K180-N(I180))</f>
        <v/>
      </c>
    </row>
    <row r="181" customFormat="false" ht="15" hidden="false" customHeight="false" outlineLevel="0" collapsed="false">
      <c r="A181" s="7" t="n">
        <v>5787</v>
      </c>
      <c r="B181" s="7" t="s">
        <v>61</v>
      </c>
      <c r="C181" s="7" t="s">
        <v>248</v>
      </c>
      <c r="D181" s="7" t="s">
        <v>71</v>
      </c>
      <c r="E181" s="7" t="n">
        <v>4</v>
      </c>
      <c r="F181" s="7" t="s">
        <v>740</v>
      </c>
      <c r="G181" s="7" t="s">
        <v>566</v>
      </c>
      <c r="H181" s="7" t="s">
        <v>750</v>
      </c>
      <c r="I181" s="15" t="n">
        <v>436.2</v>
      </c>
      <c r="J181" s="7" t="s">
        <v>751</v>
      </c>
      <c r="K181" s="16"/>
      <c r="L181" s="17" t="str">
        <f aca="false">IF(K181="","",K181-N(I181))</f>
        <v/>
      </c>
    </row>
    <row r="182" customFormat="false" ht="15" hidden="false" customHeight="false" outlineLevel="0" collapsed="false">
      <c r="A182" s="7" t="n">
        <v>5787</v>
      </c>
      <c r="B182" s="7" t="s">
        <v>61</v>
      </c>
      <c r="C182" s="7" t="s">
        <v>251</v>
      </c>
      <c r="D182" s="7" t="s">
        <v>71</v>
      </c>
      <c r="E182" s="7" t="n">
        <v>1</v>
      </c>
      <c r="F182" s="7" t="s">
        <v>744</v>
      </c>
      <c r="G182" s="7" t="s">
        <v>480</v>
      </c>
      <c r="H182" s="7" t="s">
        <v>856</v>
      </c>
      <c r="I182" s="15"/>
      <c r="J182" s="7" t="s">
        <v>746</v>
      </c>
      <c r="K182" s="16"/>
      <c r="L182" s="17" t="str">
        <f aca="false">IF(K182="","",K182-N(I182))</f>
        <v/>
      </c>
    </row>
    <row r="183" customFormat="false" ht="15" hidden="false" customHeight="false" outlineLevel="0" collapsed="false">
      <c r="A183" s="7" t="n">
        <v>5787</v>
      </c>
      <c r="B183" s="7" t="s">
        <v>61</v>
      </c>
      <c r="C183" s="7" t="s">
        <v>251</v>
      </c>
      <c r="D183" s="7" t="s">
        <v>71</v>
      </c>
      <c r="E183" s="7" t="n">
        <v>2</v>
      </c>
      <c r="F183" s="7" t="s">
        <v>747</v>
      </c>
      <c r="G183" s="7" t="s">
        <v>508</v>
      </c>
      <c r="H183" s="7" t="s">
        <v>853</v>
      </c>
      <c r="I183" s="15" t="n">
        <v>958.1</v>
      </c>
      <c r="J183" s="7" t="s">
        <v>749</v>
      </c>
      <c r="K183" s="16"/>
      <c r="L183" s="17" t="str">
        <f aca="false">IF(K183="","",K183-N(I183))</f>
        <v/>
      </c>
    </row>
    <row r="184" customFormat="false" ht="15" hidden="false" customHeight="false" outlineLevel="0" collapsed="false">
      <c r="A184" s="7" t="n">
        <v>5788</v>
      </c>
      <c r="B184" s="7" t="s">
        <v>61</v>
      </c>
      <c r="C184" s="7" t="s">
        <v>253</v>
      </c>
      <c r="D184" s="7" t="s">
        <v>83</v>
      </c>
      <c r="E184" s="7" t="n">
        <v>1</v>
      </c>
      <c r="F184" s="7" t="s">
        <v>744</v>
      </c>
      <c r="G184" s="7" t="s">
        <v>499</v>
      </c>
      <c r="H184" s="7" t="s">
        <v>857</v>
      </c>
      <c r="I184" s="15"/>
      <c r="J184" s="7" t="s">
        <v>746</v>
      </c>
      <c r="K184" s="16"/>
      <c r="L184" s="17" t="str">
        <f aca="false">IF(K184="","",K184-N(I184))</f>
        <v/>
      </c>
    </row>
    <row r="185" customFormat="false" ht="15" hidden="false" customHeight="false" outlineLevel="0" collapsed="false">
      <c r="A185" s="7" t="n">
        <v>5788</v>
      </c>
      <c r="B185" s="7" t="s">
        <v>61</v>
      </c>
      <c r="C185" s="7" t="s">
        <v>253</v>
      </c>
      <c r="D185" s="7" t="s">
        <v>83</v>
      </c>
      <c r="E185" s="7" t="n">
        <v>2</v>
      </c>
      <c r="F185" s="7" t="s">
        <v>747</v>
      </c>
      <c r="G185" s="7" t="s">
        <v>502</v>
      </c>
      <c r="H185" s="7" t="s">
        <v>858</v>
      </c>
      <c r="I185" s="15" t="n">
        <v>1490.4</v>
      </c>
      <c r="J185" s="7" t="s">
        <v>749</v>
      </c>
      <c r="K185" s="16"/>
      <c r="L185" s="17" t="str">
        <f aca="false">IF(K185="","",K185-N(I185))</f>
        <v/>
      </c>
    </row>
    <row r="186" customFormat="false" ht="15" hidden="false" customHeight="false" outlineLevel="0" collapsed="false">
      <c r="A186" s="7" t="n">
        <v>5788</v>
      </c>
      <c r="B186" s="7" t="s">
        <v>61</v>
      </c>
      <c r="C186" s="7" t="s">
        <v>254</v>
      </c>
      <c r="D186" s="7" t="s">
        <v>83</v>
      </c>
      <c r="E186" s="7" t="n">
        <v>1</v>
      </c>
      <c r="F186" s="7" t="s">
        <v>740</v>
      </c>
      <c r="G186" s="7" t="s">
        <v>502</v>
      </c>
      <c r="H186" s="7" t="s">
        <v>858</v>
      </c>
      <c r="I186" s="15"/>
      <c r="J186" s="7" t="s">
        <v>743</v>
      </c>
      <c r="K186" s="16"/>
      <c r="L186" s="17" t="str">
        <f aca="false">IF(K186="","",K186-N(I186))</f>
        <v/>
      </c>
    </row>
    <row r="187" customFormat="false" ht="15" hidden="false" customHeight="false" outlineLevel="0" collapsed="false">
      <c r="A187" s="7" t="n">
        <v>5788</v>
      </c>
      <c r="B187" s="7" t="s">
        <v>61</v>
      </c>
      <c r="C187" s="7" t="s">
        <v>254</v>
      </c>
      <c r="D187" s="7" t="s">
        <v>83</v>
      </c>
      <c r="E187" s="7" t="n">
        <v>2</v>
      </c>
      <c r="F187" s="7" t="s">
        <v>744</v>
      </c>
      <c r="G187" s="7" t="s">
        <v>545</v>
      </c>
      <c r="H187" s="7" t="s">
        <v>859</v>
      </c>
      <c r="I187" s="15" t="n">
        <v>71.4</v>
      </c>
      <c r="J187" s="7" t="s">
        <v>746</v>
      </c>
      <c r="K187" s="16"/>
      <c r="L187" s="17" t="str">
        <f aca="false">IF(K187="","",K187-N(I187))</f>
        <v/>
      </c>
    </row>
    <row r="188" customFormat="false" ht="15" hidden="false" customHeight="false" outlineLevel="0" collapsed="false">
      <c r="A188" s="7" t="n">
        <v>5788</v>
      </c>
      <c r="B188" s="7" t="s">
        <v>61</v>
      </c>
      <c r="C188" s="7" t="s">
        <v>254</v>
      </c>
      <c r="D188" s="7" t="s">
        <v>83</v>
      </c>
      <c r="E188" s="7" t="n">
        <v>3</v>
      </c>
      <c r="F188" s="7" t="s">
        <v>747</v>
      </c>
      <c r="G188" s="7" t="s">
        <v>576</v>
      </c>
      <c r="H188" s="7" t="s">
        <v>860</v>
      </c>
      <c r="I188" s="15" t="n">
        <v>750.5</v>
      </c>
      <c r="J188" s="7" t="s">
        <v>749</v>
      </c>
      <c r="K188" s="16"/>
      <c r="L188" s="17" t="str">
        <f aca="false">IF(K188="","",K188-N(I188))</f>
        <v/>
      </c>
    </row>
    <row r="189" customFormat="false" ht="15" hidden="false" customHeight="false" outlineLevel="0" collapsed="false">
      <c r="A189" s="7" t="n">
        <v>5788</v>
      </c>
      <c r="B189" s="7" t="s">
        <v>61</v>
      </c>
      <c r="C189" s="7" t="s">
        <v>256</v>
      </c>
      <c r="D189" s="7" t="s">
        <v>83</v>
      </c>
      <c r="E189" s="7" t="n">
        <v>1</v>
      </c>
      <c r="F189" s="7" t="s">
        <v>740</v>
      </c>
      <c r="G189" s="7" t="s">
        <v>576</v>
      </c>
      <c r="H189" s="7" t="s">
        <v>860</v>
      </c>
      <c r="I189" s="15"/>
      <c r="J189" s="7" t="s">
        <v>743</v>
      </c>
      <c r="K189" s="16"/>
      <c r="L189" s="17" t="str">
        <f aca="false">IF(K189="","",K189-N(I189))</f>
        <v/>
      </c>
    </row>
    <row r="190" customFormat="false" ht="15" hidden="false" customHeight="false" outlineLevel="0" collapsed="false">
      <c r="A190" s="7" t="n">
        <v>5788</v>
      </c>
      <c r="B190" s="7" t="s">
        <v>61</v>
      </c>
      <c r="C190" s="7" t="s">
        <v>256</v>
      </c>
      <c r="D190" s="7" t="s">
        <v>83</v>
      </c>
      <c r="E190" s="7" t="n">
        <v>2</v>
      </c>
      <c r="F190" s="7" t="s">
        <v>744</v>
      </c>
      <c r="G190" s="7" t="s">
        <v>566</v>
      </c>
      <c r="H190" s="7" t="s">
        <v>861</v>
      </c>
      <c r="I190" s="15" t="n">
        <v>173.8</v>
      </c>
      <c r="J190" s="7" t="s">
        <v>746</v>
      </c>
      <c r="K190" s="16"/>
      <c r="L190" s="17" t="str">
        <f aca="false">IF(K190="","",K190-N(I190))</f>
        <v/>
      </c>
    </row>
    <row r="191" customFormat="false" ht="15" hidden="false" customHeight="false" outlineLevel="0" collapsed="false">
      <c r="A191" s="7" t="n">
        <v>5788</v>
      </c>
      <c r="B191" s="7" t="s">
        <v>61</v>
      </c>
      <c r="C191" s="7" t="s">
        <v>256</v>
      </c>
      <c r="D191" s="7" t="s">
        <v>83</v>
      </c>
      <c r="E191" s="7" t="n">
        <v>3</v>
      </c>
      <c r="F191" s="7" t="s">
        <v>747</v>
      </c>
      <c r="G191" s="7" t="s">
        <v>578</v>
      </c>
      <c r="H191" s="7" t="s">
        <v>760</v>
      </c>
      <c r="I191" s="15" t="n">
        <v>1349.2</v>
      </c>
      <c r="J191" s="7" t="s">
        <v>749</v>
      </c>
      <c r="K191" s="16"/>
      <c r="L191" s="17" t="str">
        <f aca="false">IF(K191="","",K191-N(I191))</f>
        <v/>
      </c>
    </row>
    <row r="192" customFormat="false" ht="15" hidden="false" customHeight="false" outlineLevel="0" collapsed="false">
      <c r="A192" s="7" t="n">
        <v>5789</v>
      </c>
      <c r="B192" s="7" t="s">
        <v>61</v>
      </c>
      <c r="C192" s="7" t="s">
        <v>257</v>
      </c>
      <c r="D192" s="7" t="s">
        <v>84</v>
      </c>
      <c r="E192" s="7" t="n">
        <v>1</v>
      </c>
      <c r="F192" s="7" t="s">
        <v>744</v>
      </c>
      <c r="G192" s="7" t="s">
        <v>545</v>
      </c>
      <c r="H192" s="7" t="s">
        <v>752</v>
      </c>
      <c r="I192" s="15"/>
      <c r="J192" s="7" t="s">
        <v>746</v>
      </c>
      <c r="K192" s="16"/>
      <c r="L192" s="17" t="str">
        <f aca="false">IF(K192="","",K192-N(I192))</f>
        <v/>
      </c>
    </row>
    <row r="193" customFormat="false" ht="15" hidden="false" customHeight="false" outlineLevel="0" collapsed="false">
      <c r="A193" s="7" t="n">
        <v>5789</v>
      </c>
      <c r="B193" s="7" t="s">
        <v>61</v>
      </c>
      <c r="C193" s="7" t="s">
        <v>257</v>
      </c>
      <c r="D193" s="7" t="s">
        <v>84</v>
      </c>
      <c r="E193" s="7" t="n">
        <v>2</v>
      </c>
      <c r="F193" s="7" t="s">
        <v>747</v>
      </c>
      <c r="G193" s="7" t="s">
        <v>566</v>
      </c>
      <c r="H193" s="7" t="s">
        <v>742</v>
      </c>
      <c r="I193" s="15" t="n">
        <v>1890.2</v>
      </c>
      <c r="J193" s="7" t="s">
        <v>749</v>
      </c>
      <c r="K193" s="16"/>
      <c r="L193" s="17" t="str">
        <f aca="false">IF(K193="","",K193-N(I193))</f>
        <v/>
      </c>
    </row>
    <row r="194" customFormat="false" ht="15" hidden="false" customHeight="false" outlineLevel="0" collapsed="false">
      <c r="A194" s="7" t="n">
        <v>5789</v>
      </c>
      <c r="B194" s="7" t="s">
        <v>61</v>
      </c>
      <c r="C194" s="7" t="s">
        <v>259</v>
      </c>
      <c r="D194" s="7" t="s">
        <v>84</v>
      </c>
      <c r="E194" s="7" t="n">
        <v>1</v>
      </c>
      <c r="F194" s="7" t="s">
        <v>740</v>
      </c>
      <c r="G194" s="7" t="s">
        <v>566</v>
      </c>
      <c r="H194" s="7" t="s">
        <v>742</v>
      </c>
      <c r="I194" s="15"/>
      <c r="J194" s="7" t="s">
        <v>743</v>
      </c>
      <c r="K194" s="16"/>
      <c r="L194" s="17" t="str">
        <f aca="false">IF(K194="","",K194-N(I194))</f>
        <v/>
      </c>
    </row>
    <row r="195" customFormat="false" ht="15" hidden="false" customHeight="false" outlineLevel="0" collapsed="false">
      <c r="A195" s="7" t="n">
        <v>5789</v>
      </c>
      <c r="B195" s="7" t="s">
        <v>61</v>
      </c>
      <c r="C195" s="7" t="s">
        <v>259</v>
      </c>
      <c r="D195" s="7" t="s">
        <v>84</v>
      </c>
      <c r="E195" s="7" t="n">
        <v>2</v>
      </c>
      <c r="F195" s="7" t="s">
        <v>744</v>
      </c>
      <c r="G195" s="7" t="s">
        <v>566</v>
      </c>
      <c r="H195" s="7" t="s">
        <v>862</v>
      </c>
      <c r="I195" s="15" t="n">
        <v>107.2</v>
      </c>
      <c r="J195" s="7" t="s">
        <v>746</v>
      </c>
      <c r="K195" s="16"/>
      <c r="L195" s="17" t="str">
        <f aca="false">IF(K195="","",K195-N(I195))</f>
        <v/>
      </c>
    </row>
    <row r="196" customFormat="false" ht="15" hidden="false" customHeight="false" outlineLevel="0" collapsed="false">
      <c r="A196" s="7" t="n">
        <v>5789</v>
      </c>
      <c r="B196" s="7" t="s">
        <v>61</v>
      </c>
      <c r="C196" s="7" t="s">
        <v>259</v>
      </c>
      <c r="D196" s="7" t="s">
        <v>84</v>
      </c>
      <c r="E196" s="7" t="n">
        <v>3</v>
      </c>
      <c r="F196" s="7" t="s">
        <v>747</v>
      </c>
      <c r="G196" s="7" t="s">
        <v>578</v>
      </c>
      <c r="H196" s="7" t="s">
        <v>863</v>
      </c>
      <c r="I196" s="15" t="n">
        <v>1415.9</v>
      </c>
      <c r="J196" s="7" t="s">
        <v>749</v>
      </c>
      <c r="K196" s="16"/>
      <c r="L196" s="17" t="str">
        <f aca="false">IF(K196="","",K196-N(I196))</f>
        <v/>
      </c>
    </row>
    <row r="197" customFormat="false" ht="15" hidden="false" customHeight="false" outlineLevel="0" collapsed="false">
      <c r="A197" s="7" t="n">
        <v>5789</v>
      </c>
      <c r="B197" s="7" t="s">
        <v>61</v>
      </c>
      <c r="C197" s="7" t="s">
        <v>259</v>
      </c>
      <c r="D197" s="7" t="s">
        <v>84</v>
      </c>
      <c r="E197" s="7" t="n">
        <v>4</v>
      </c>
      <c r="F197" s="7" t="s">
        <v>740</v>
      </c>
      <c r="G197" s="7" t="s">
        <v>606</v>
      </c>
      <c r="H197" s="7" t="s">
        <v>750</v>
      </c>
      <c r="I197" s="15" t="n">
        <v>438.4</v>
      </c>
      <c r="J197" s="7" t="s">
        <v>751</v>
      </c>
      <c r="K197" s="16"/>
      <c r="L197" s="17" t="str">
        <f aca="false">IF(K197="","",K197-N(I197))</f>
        <v/>
      </c>
    </row>
    <row r="198" customFormat="false" ht="15" hidden="false" customHeight="false" outlineLevel="0" collapsed="false">
      <c r="A198" s="7" t="n">
        <v>5790</v>
      </c>
      <c r="B198" s="7" t="s">
        <v>61</v>
      </c>
      <c r="C198" s="7" t="s">
        <v>261</v>
      </c>
      <c r="D198" s="7" t="s">
        <v>93</v>
      </c>
      <c r="E198" s="7" t="n">
        <v>1</v>
      </c>
      <c r="F198" s="7" t="s">
        <v>744</v>
      </c>
      <c r="G198" s="7" t="s">
        <v>542</v>
      </c>
      <c r="H198" s="7" t="s">
        <v>864</v>
      </c>
      <c r="I198" s="15"/>
      <c r="J198" s="7" t="s">
        <v>746</v>
      </c>
      <c r="K198" s="16"/>
      <c r="L198" s="17" t="str">
        <f aca="false">IF(K198="","",K198-N(I198))</f>
        <v/>
      </c>
    </row>
    <row r="199" customFormat="false" ht="15" hidden="false" customHeight="false" outlineLevel="0" collapsed="false">
      <c r="A199" s="7" t="n">
        <v>5790</v>
      </c>
      <c r="B199" s="7" t="s">
        <v>61</v>
      </c>
      <c r="C199" s="7" t="s">
        <v>261</v>
      </c>
      <c r="D199" s="7" t="s">
        <v>93</v>
      </c>
      <c r="E199" s="7" t="n">
        <v>2</v>
      </c>
      <c r="F199" s="7" t="s">
        <v>747</v>
      </c>
      <c r="G199" s="7" t="s">
        <v>576</v>
      </c>
      <c r="H199" s="7" t="s">
        <v>865</v>
      </c>
      <c r="I199" s="15" t="n">
        <v>1502.1</v>
      </c>
      <c r="J199" s="7" t="s">
        <v>749</v>
      </c>
      <c r="K199" s="16"/>
      <c r="L199" s="17" t="str">
        <f aca="false">IF(K199="","",K199-N(I199))</f>
        <v/>
      </c>
    </row>
    <row r="200" customFormat="false" ht="15" hidden="false" customHeight="false" outlineLevel="0" collapsed="false">
      <c r="A200" s="7" t="n">
        <v>5790</v>
      </c>
      <c r="B200" s="7" t="s">
        <v>61</v>
      </c>
      <c r="C200" s="7" t="s">
        <v>263</v>
      </c>
      <c r="D200" s="7" t="s">
        <v>93</v>
      </c>
      <c r="E200" s="7" t="n">
        <v>1</v>
      </c>
      <c r="F200" s="7" t="s">
        <v>740</v>
      </c>
      <c r="G200" s="7" t="s">
        <v>576</v>
      </c>
      <c r="H200" s="7" t="s">
        <v>865</v>
      </c>
      <c r="I200" s="15"/>
      <c r="J200" s="7" t="s">
        <v>743</v>
      </c>
      <c r="K200" s="16"/>
      <c r="L200" s="17" t="str">
        <f aca="false">IF(K200="","",K200-N(I200))</f>
        <v/>
      </c>
    </row>
    <row r="201" customFormat="false" ht="15" hidden="false" customHeight="false" outlineLevel="0" collapsed="false">
      <c r="A201" s="7" t="n">
        <v>5790</v>
      </c>
      <c r="B201" s="7" t="s">
        <v>61</v>
      </c>
      <c r="C201" s="7" t="s">
        <v>263</v>
      </c>
      <c r="D201" s="7" t="s">
        <v>93</v>
      </c>
      <c r="E201" s="7" t="n">
        <v>2</v>
      </c>
      <c r="F201" s="7" t="s">
        <v>744</v>
      </c>
      <c r="G201" s="7" t="s">
        <v>566</v>
      </c>
      <c r="H201" s="7" t="s">
        <v>866</v>
      </c>
      <c r="I201" s="15" t="n">
        <v>145.8</v>
      </c>
      <c r="J201" s="7" t="s">
        <v>746</v>
      </c>
      <c r="K201" s="16"/>
      <c r="L201" s="17" t="str">
        <f aca="false">IF(K201="","",K201-N(I201))</f>
        <v/>
      </c>
    </row>
    <row r="202" customFormat="false" ht="15" hidden="false" customHeight="false" outlineLevel="0" collapsed="false">
      <c r="A202" s="7" t="n">
        <v>5790</v>
      </c>
      <c r="B202" s="7" t="s">
        <v>61</v>
      </c>
      <c r="C202" s="7" t="s">
        <v>263</v>
      </c>
      <c r="D202" s="7" t="s">
        <v>93</v>
      </c>
      <c r="E202" s="7" t="n">
        <v>3</v>
      </c>
      <c r="F202" s="7" t="s">
        <v>747</v>
      </c>
      <c r="G202" s="7" t="s">
        <v>578</v>
      </c>
      <c r="H202" s="7" t="s">
        <v>867</v>
      </c>
      <c r="I202" s="15" t="n">
        <v>1046.8</v>
      </c>
      <c r="J202" s="7" t="s">
        <v>749</v>
      </c>
      <c r="K202" s="16"/>
      <c r="L202" s="17" t="str">
        <f aca="false">IF(K202="","",K202-N(I202))</f>
        <v/>
      </c>
    </row>
    <row r="203" customFormat="false" ht="15" hidden="false" customHeight="false" outlineLevel="0" collapsed="false">
      <c r="A203" s="7" t="n">
        <v>5790</v>
      </c>
      <c r="B203" s="7" t="s">
        <v>61</v>
      </c>
      <c r="C203" s="7" t="s">
        <v>263</v>
      </c>
      <c r="D203" s="7" t="s">
        <v>93</v>
      </c>
      <c r="E203" s="7" t="n">
        <v>4</v>
      </c>
      <c r="F203" s="7" t="s">
        <v>740</v>
      </c>
      <c r="G203" s="7" t="s">
        <v>606</v>
      </c>
      <c r="H203" s="7" t="s">
        <v>750</v>
      </c>
      <c r="I203" s="15" t="n">
        <v>330.8</v>
      </c>
      <c r="J203" s="7" t="s">
        <v>751</v>
      </c>
      <c r="K203" s="16"/>
      <c r="L203" s="17" t="str">
        <f aca="false">IF(K203="","",K203-N(I203))</f>
        <v/>
      </c>
    </row>
    <row r="204" customFormat="false" ht="15" hidden="false" customHeight="false" outlineLevel="0" collapsed="false">
      <c r="A204" s="7" t="n">
        <v>5791</v>
      </c>
      <c r="B204" s="7" t="s">
        <v>61</v>
      </c>
      <c r="C204" s="7" t="s">
        <v>264</v>
      </c>
      <c r="D204" s="7" t="s">
        <v>81</v>
      </c>
      <c r="E204" s="7" t="n">
        <v>1</v>
      </c>
      <c r="F204" s="7" t="s">
        <v>744</v>
      </c>
      <c r="G204" s="7" t="s">
        <v>542</v>
      </c>
      <c r="H204" s="7" t="s">
        <v>868</v>
      </c>
      <c r="I204" s="15"/>
      <c r="J204" s="7" t="s">
        <v>746</v>
      </c>
      <c r="K204" s="16"/>
      <c r="L204" s="17" t="str">
        <f aca="false">IF(K204="","",K204-N(I204))</f>
        <v/>
      </c>
    </row>
    <row r="205" customFormat="false" ht="15" hidden="false" customHeight="false" outlineLevel="0" collapsed="false">
      <c r="A205" s="7" t="n">
        <v>5791</v>
      </c>
      <c r="B205" s="7" t="s">
        <v>61</v>
      </c>
      <c r="C205" s="7" t="s">
        <v>264</v>
      </c>
      <c r="D205" s="7" t="s">
        <v>81</v>
      </c>
      <c r="E205" s="7" t="n">
        <v>2</v>
      </c>
      <c r="F205" s="7" t="s">
        <v>747</v>
      </c>
      <c r="G205" s="7" t="s">
        <v>571</v>
      </c>
      <c r="H205" s="7" t="s">
        <v>869</v>
      </c>
      <c r="I205" s="15" t="n">
        <v>1820.1</v>
      </c>
      <c r="J205" s="7" t="s">
        <v>749</v>
      </c>
      <c r="K205" s="16"/>
      <c r="L205" s="17" t="str">
        <f aca="false">IF(K205="","",K205-N(I205))</f>
        <v/>
      </c>
    </row>
    <row r="206" customFormat="false" ht="15" hidden="false" customHeight="false" outlineLevel="0" collapsed="false">
      <c r="A206" s="7" t="n">
        <v>5791</v>
      </c>
      <c r="B206" s="7" t="s">
        <v>61</v>
      </c>
      <c r="C206" s="7" t="s">
        <v>265</v>
      </c>
      <c r="D206" s="7" t="s">
        <v>81</v>
      </c>
      <c r="E206" s="7" t="n">
        <v>1</v>
      </c>
      <c r="F206" s="7" t="s">
        <v>740</v>
      </c>
      <c r="G206" s="7" t="s">
        <v>571</v>
      </c>
      <c r="H206" s="7" t="s">
        <v>869</v>
      </c>
      <c r="I206" s="15"/>
      <c r="J206" s="7" t="s">
        <v>743</v>
      </c>
      <c r="K206" s="16"/>
      <c r="L206" s="17" t="str">
        <f aca="false">IF(K206="","",K206-N(I206))</f>
        <v/>
      </c>
    </row>
    <row r="207" customFormat="false" ht="15" hidden="false" customHeight="false" outlineLevel="0" collapsed="false">
      <c r="A207" s="7" t="n">
        <v>5791</v>
      </c>
      <c r="B207" s="7" t="s">
        <v>61</v>
      </c>
      <c r="C207" s="7" t="s">
        <v>265</v>
      </c>
      <c r="D207" s="7" t="s">
        <v>81</v>
      </c>
      <c r="E207" s="7" t="n">
        <v>2</v>
      </c>
      <c r="F207" s="7" t="s">
        <v>744</v>
      </c>
      <c r="G207" s="7" t="s">
        <v>571</v>
      </c>
      <c r="H207" s="7" t="s">
        <v>870</v>
      </c>
      <c r="I207" s="15" t="n">
        <v>80.6</v>
      </c>
      <c r="J207" s="7" t="s">
        <v>746</v>
      </c>
      <c r="K207" s="16"/>
      <c r="L207" s="17" t="str">
        <f aca="false">IF(K207="","",K207-N(I207))</f>
        <v/>
      </c>
    </row>
    <row r="208" customFormat="false" ht="15" hidden="false" customHeight="false" outlineLevel="0" collapsed="false">
      <c r="A208" s="7" t="n">
        <v>5791</v>
      </c>
      <c r="B208" s="7" t="s">
        <v>61</v>
      </c>
      <c r="C208" s="7" t="s">
        <v>265</v>
      </c>
      <c r="D208" s="7" t="s">
        <v>81</v>
      </c>
      <c r="E208" s="7" t="n">
        <v>3</v>
      </c>
      <c r="F208" s="7" t="s">
        <v>747</v>
      </c>
      <c r="G208" s="7" t="s">
        <v>606</v>
      </c>
      <c r="H208" s="7" t="s">
        <v>871</v>
      </c>
      <c r="I208" s="15" t="n">
        <v>1524.4</v>
      </c>
      <c r="J208" s="7" t="s">
        <v>749</v>
      </c>
      <c r="K208" s="16"/>
      <c r="L208" s="17" t="str">
        <f aca="false">IF(K208="","",K208-N(I208))</f>
        <v/>
      </c>
    </row>
    <row r="209" customFormat="false" ht="15" hidden="false" customHeight="false" outlineLevel="0" collapsed="false">
      <c r="A209" s="7" t="n">
        <v>5791</v>
      </c>
      <c r="B209" s="7" t="s">
        <v>61</v>
      </c>
      <c r="C209" s="7" t="s">
        <v>265</v>
      </c>
      <c r="D209" s="7" t="s">
        <v>81</v>
      </c>
      <c r="E209" s="7" t="n">
        <v>4</v>
      </c>
      <c r="F209" s="7" t="s">
        <v>740</v>
      </c>
      <c r="G209" s="7" t="s">
        <v>606</v>
      </c>
      <c r="H209" s="7" t="s">
        <v>750</v>
      </c>
      <c r="I209" s="15" t="n">
        <v>330.5</v>
      </c>
      <c r="J209" s="7" t="s">
        <v>751</v>
      </c>
      <c r="K209" s="16"/>
      <c r="L209" s="17" t="str">
        <f aca="false">IF(K209="","",K209-N(I209))</f>
        <v/>
      </c>
    </row>
    <row r="210" customFormat="false" ht="15" hidden="false" customHeight="false" outlineLevel="0" collapsed="false">
      <c r="A210" s="7" t="n">
        <v>5792</v>
      </c>
      <c r="B210" s="7" t="s">
        <v>61</v>
      </c>
      <c r="C210" s="7" t="s">
        <v>267</v>
      </c>
      <c r="D210" s="7" t="s">
        <v>86</v>
      </c>
      <c r="E210" s="7" t="n">
        <v>1</v>
      </c>
      <c r="F210" s="7" t="s">
        <v>744</v>
      </c>
      <c r="G210" s="7" t="s">
        <v>545</v>
      </c>
      <c r="H210" s="7" t="s">
        <v>868</v>
      </c>
      <c r="I210" s="15"/>
      <c r="J210" s="7" t="s">
        <v>746</v>
      </c>
      <c r="K210" s="16"/>
      <c r="L210" s="17" t="str">
        <f aca="false">IF(K210="","",K210-N(I210))</f>
        <v/>
      </c>
    </row>
    <row r="211" customFormat="false" ht="15" hidden="false" customHeight="false" outlineLevel="0" collapsed="false">
      <c r="A211" s="7" t="n">
        <v>5792</v>
      </c>
      <c r="B211" s="7" t="s">
        <v>61</v>
      </c>
      <c r="C211" s="7" t="s">
        <v>267</v>
      </c>
      <c r="D211" s="7" t="s">
        <v>86</v>
      </c>
      <c r="E211" s="7" t="n">
        <v>2</v>
      </c>
      <c r="F211" s="7" t="s">
        <v>747</v>
      </c>
      <c r="G211" s="7" t="s">
        <v>571</v>
      </c>
      <c r="H211" s="7" t="s">
        <v>872</v>
      </c>
      <c r="I211" s="15" t="n">
        <v>1820.1</v>
      </c>
      <c r="J211" s="7" t="s">
        <v>749</v>
      </c>
      <c r="K211" s="16"/>
      <c r="L211" s="17" t="str">
        <f aca="false">IF(K211="","",K211-N(I211))</f>
        <v/>
      </c>
    </row>
    <row r="212" customFormat="false" ht="15" hidden="false" customHeight="false" outlineLevel="0" collapsed="false">
      <c r="A212" s="7" t="n">
        <v>5792</v>
      </c>
      <c r="B212" s="7" t="s">
        <v>61</v>
      </c>
      <c r="C212" s="7" t="s">
        <v>268</v>
      </c>
      <c r="D212" s="7" t="s">
        <v>86</v>
      </c>
      <c r="E212" s="7" t="n">
        <v>1</v>
      </c>
      <c r="F212" s="7" t="s">
        <v>740</v>
      </c>
      <c r="G212" s="7" t="s">
        <v>571</v>
      </c>
      <c r="H212" s="7" t="s">
        <v>872</v>
      </c>
      <c r="I212" s="15"/>
      <c r="J212" s="7" t="s">
        <v>743</v>
      </c>
      <c r="K212" s="16"/>
      <c r="L212" s="17" t="str">
        <f aca="false">IF(K212="","",K212-N(I212))</f>
        <v/>
      </c>
    </row>
    <row r="213" customFormat="false" ht="15" hidden="false" customHeight="false" outlineLevel="0" collapsed="false">
      <c r="A213" s="7" t="n">
        <v>5792</v>
      </c>
      <c r="B213" s="7" t="s">
        <v>61</v>
      </c>
      <c r="C213" s="7" t="s">
        <v>268</v>
      </c>
      <c r="D213" s="7" t="s">
        <v>86</v>
      </c>
      <c r="E213" s="7" t="n">
        <v>2</v>
      </c>
      <c r="F213" s="7" t="s">
        <v>744</v>
      </c>
      <c r="G213" s="7" t="s">
        <v>571</v>
      </c>
      <c r="H213" s="7" t="s">
        <v>873</v>
      </c>
      <c r="I213" s="15" t="n">
        <v>68.8</v>
      </c>
      <c r="J213" s="7" t="s">
        <v>746</v>
      </c>
      <c r="K213" s="16"/>
      <c r="L213" s="17" t="str">
        <f aca="false">IF(K213="","",K213-N(I213))</f>
        <v/>
      </c>
    </row>
    <row r="214" customFormat="false" ht="15" hidden="false" customHeight="false" outlineLevel="0" collapsed="false">
      <c r="A214" s="7" t="n">
        <v>5792</v>
      </c>
      <c r="B214" s="7" t="s">
        <v>61</v>
      </c>
      <c r="C214" s="7" t="s">
        <v>268</v>
      </c>
      <c r="D214" s="7" t="s">
        <v>86</v>
      </c>
      <c r="E214" s="7" t="n">
        <v>3</v>
      </c>
      <c r="F214" s="7" t="s">
        <v>747</v>
      </c>
      <c r="G214" s="7" t="s">
        <v>606</v>
      </c>
      <c r="H214" s="7" t="s">
        <v>874</v>
      </c>
      <c r="I214" s="15" t="n">
        <v>1508.1</v>
      </c>
      <c r="J214" s="7" t="s">
        <v>749</v>
      </c>
      <c r="K214" s="16"/>
      <c r="L214" s="17" t="str">
        <f aca="false">IF(K214="","",K214-N(I214))</f>
        <v/>
      </c>
    </row>
    <row r="215" customFormat="false" ht="15" hidden="false" customHeight="false" outlineLevel="0" collapsed="false">
      <c r="A215" s="7" t="n">
        <v>5792</v>
      </c>
      <c r="B215" s="7" t="s">
        <v>61</v>
      </c>
      <c r="C215" s="7" t="s">
        <v>270</v>
      </c>
      <c r="D215" s="7" t="s">
        <v>86</v>
      </c>
      <c r="E215" s="7" t="n">
        <v>1</v>
      </c>
      <c r="F215" s="7" t="s">
        <v>740</v>
      </c>
      <c r="G215" s="7" t="s">
        <v>606</v>
      </c>
      <c r="H215" s="7" t="s">
        <v>874</v>
      </c>
      <c r="I215" s="15"/>
      <c r="J215" s="7" t="s">
        <v>743</v>
      </c>
      <c r="K215" s="16"/>
      <c r="L215" s="17" t="str">
        <f aca="false">IF(K215="","",K215-N(I215))</f>
        <v/>
      </c>
    </row>
    <row r="216" customFormat="false" ht="15" hidden="false" customHeight="false" outlineLevel="0" collapsed="false">
      <c r="A216" s="7" t="n">
        <v>5792</v>
      </c>
      <c r="B216" s="7" t="s">
        <v>61</v>
      </c>
      <c r="C216" s="7" t="s">
        <v>270</v>
      </c>
      <c r="D216" s="7" t="s">
        <v>86</v>
      </c>
      <c r="E216" s="7" t="n">
        <v>2</v>
      </c>
      <c r="F216" s="7" t="s">
        <v>744</v>
      </c>
      <c r="G216" s="7" t="s">
        <v>606</v>
      </c>
      <c r="H216" s="7" t="s">
        <v>875</v>
      </c>
      <c r="I216" s="15" t="n">
        <v>44.9</v>
      </c>
      <c r="J216" s="7" t="s">
        <v>746</v>
      </c>
      <c r="K216" s="16"/>
      <c r="L216" s="17" t="str">
        <f aca="false">IF(K216="","",K216-N(I216))</f>
        <v/>
      </c>
    </row>
    <row r="217" customFormat="false" ht="15" hidden="false" customHeight="false" outlineLevel="0" collapsed="false">
      <c r="A217" s="7" t="n">
        <v>5792</v>
      </c>
      <c r="B217" s="7" t="s">
        <v>61</v>
      </c>
      <c r="C217" s="7" t="s">
        <v>270</v>
      </c>
      <c r="D217" s="7" t="s">
        <v>86</v>
      </c>
      <c r="E217" s="7" t="n">
        <v>3</v>
      </c>
      <c r="F217" s="7" t="s">
        <v>747</v>
      </c>
      <c r="G217" s="7" t="s">
        <v>617</v>
      </c>
      <c r="H217" s="7" t="s">
        <v>876</v>
      </c>
      <c r="I217" s="15" t="n">
        <v>420.4</v>
      </c>
      <c r="J217" s="7" t="s">
        <v>749</v>
      </c>
      <c r="K217" s="16"/>
      <c r="L217" s="17" t="str">
        <f aca="false">IF(K217="","",K217-N(I217))</f>
        <v/>
      </c>
    </row>
    <row r="218" customFormat="false" ht="15" hidden="false" customHeight="false" outlineLevel="0" collapsed="false">
      <c r="A218" s="7" t="n">
        <v>5793</v>
      </c>
      <c r="B218" s="7" t="s">
        <v>61</v>
      </c>
      <c r="C218" s="7" t="s">
        <v>272</v>
      </c>
      <c r="D218" s="7" t="s">
        <v>74</v>
      </c>
      <c r="E218" s="7" t="n">
        <v>1</v>
      </c>
      <c r="F218" s="7" t="s">
        <v>744</v>
      </c>
      <c r="G218" s="7" t="s">
        <v>542</v>
      </c>
      <c r="H218" s="7" t="s">
        <v>750</v>
      </c>
      <c r="I218" s="15"/>
      <c r="J218" s="7" t="s">
        <v>746</v>
      </c>
      <c r="K218" s="16"/>
      <c r="L218" s="17" t="str">
        <f aca="false">IF(K218="","",K218-N(I218))</f>
        <v/>
      </c>
    </row>
    <row r="219" customFormat="false" ht="15" hidden="false" customHeight="false" outlineLevel="0" collapsed="false">
      <c r="A219" s="7" t="n">
        <v>5793</v>
      </c>
      <c r="B219" s="7" t="s">
        <v>61</v>
      </c>
      <c r="C219" s="7" t="s">
        <v>272</v>
      </c>
      <c r="D219" s="7" t="s">
        <v>74</v>
      </c>
      <c r="E219" s="7" t="n">
        <v>2</v>
      </c>
      <c r="F219" s="7" t="s">
        <v>747</v>
      </c>
      <c r="G219" s="7" t="s">
        <v>566</v>
      </c>
      <c r="H219" s="7" t="s">
        <v>877</v>
      </c>
      <c r="I219" s="15" t="n">
        <v>1485.2</v>
      </c>
      <c r="J219" s="7" t="s">
        <v>749</v>
      </c>
      <c r="K219" s="16"/>
      <c r="L219" s="17" t="str">
        <f aca="false">IF(K219="","",K219-N(I219))</f>
        <v/>
      </c>
    </row>
    <row r="220" customFormat="false" ht="15" hidden="false" customHeight="false" outlineLevel="0" collapsed="false">
      <c r="A220" s="7" t="n">
        <v>5793</v>
      </c>
      <c r="B220" s="7" t="s">
        <v>61</v>
      </c>
      <c r="C220" s="7" t="s">
        <v>275</v>
      </c>
      <c r="D220" s="7" t="s">
        <v>74</v>
      </c>
      <c r="E220" s="7" t="n">
        <v>1</v>
      </c>
      <c r="F220" s="7" t="s">
        <v>740</v>
      </c>
      <c r="G220" s="7" t="s">
        <v>566</v>
      </c>
      <c r="H220" s="7" t="s">
        <v>877</v>
      </c>
      <c r="I220" s="15"/>
      <c r="J220" s="7" t="s">
        <v>743</v>
      </c>
      <c r="K220" s="16"/>
      <c r="L220" s="17" t="str">
        <f aca="false">IF(K220="","",K220-N(I220))</f>
        <v/>
      </c>
    </row>
    <row r="221" customFormat="false" ht="15" hidden="false" customHeight="false" outlineLevel="0" collapsed="false">
      <c r="A221" s="7" t="n">
        <v>5793</v>
      </c>
      <c r="B221" s="7" t="s">
        <v>61</v>
      </c>
      <c r="C221" s="7" t="s">
        <v>275</v>
      </c>
      <c r="D221" s="7" t="s">
        <v>74</v>
      </c>
      <c r="E221" s="7" t="n">
        <v>2</v>
      </c>
      <c r="F221" s="7" t="s">
        <v>744</v>
      </c>
      <c r="G221" s="7" t="s">
        <v>566</v>
      </c>
      <c r="H221" s="7" t="s">
        <v>878</v>
      </c>
      <c r="I221" s="15" t="n">
        <v>80.7</v>
      </c>
      <c r="J221" s="7" t="s">
        <v>746</v>
      </c>
      <c r="K221" s="16"/>
      <c r="L221" s="17" t="str">
        <f aca="false">IF(K221="","",K221-N(I221))</f>
        <v/>
      </c>
    </row>
    <row r="222" customFormat="false" ht="15" hidden="false" customHeight="false" outlineLevel="0" collapsed="false">
      <c r="A222" s="7" t="n">
        <v>5793</v>
      </c>
      <c r="B222" s="7" t="s">
        <v>61</v>
      </c>
      <c r="C222" s="7" t="s">
        <v>275</v>
      </c>
      <c r="D222" s="7" t="s">
        <v>74</v>
      </c>
      <c r="E222" s="7" t="n">
        <v>3</v>
      </c>
      <c r="F222" s="7" t="s">
        <v>747</v>
      </c>
      <c r="G222" s="7" t="s">
        <v>578</v>
      </c>
      <c r="H222" s="7" t="s">
        <v>879</v>
      </c>
      <c r="I222" s="15" t="n">
        <v>1086</v>
      </c>
      <c r="J222" s="7" t="s">
        <v>749</v>
      </c>
      <c r="K222" s="16"/>
      <c r="L222" s="17" t="str">
        <f aca="false">IF(K222="","",K222-N(I222))</f>
        <v/>
      </c>
    </row>
    <row r="223" customFormat="false" ht="15" hidden="false" customHeight="false" outlineLevel="0" collapsed="false">
      <c r="A223" s="7" t="n">
        <v>5793</v>
      </c>
      <c r="B223" s="7" t="s">
        <v>61</v>
      </c>
      <c r="C223" s="7" t="s">
        <v>275</v>
      </c>
      <c r="D223" s="7" t="s">
        <v>74</v>
      </c>
      <c r="E223" s="7" t="n">
        <v>4</v>
      </c>
      <c r="F223" s="7" t="s">
        <v>740</v>
      </c>
      <c r="G223" s="7" t="s">
        <v>880</v>
      </c>
      <c r="H223" s="7" t="s">
        <v>750</v>
      </c>
      <c r="I223" s="15" t="n">
        <v>321.4</v>
      </c>
      <c r="J223" s="7" t="s">
        <v>751</v>
      </c>
      <c r="K223" s="16"/>
      <c r="L223" s="17" t="str">
        <f aca="false">IF(K223="","",K223-N(I223))</f>
        <v/>
      </c>
    </row>
    <row r="224" customFormat="false" ht="15" hidden="false" customHeight="false" outlineLevel="0" collapsed="false">
      <c r="A224" s="7" t="n">
        <v>5794</v>
      </c>
      <c r="B224" s="7" t="s">
        <v>61</v>
      </c>
      <c r="C224" s="7" t="s">
        <v>278</v>
      </c>
      <c r="D224" s="7" t="s">
        <v>67</v>
      </c>
      <c r="E224" s="7" t="n">
        <v>1</v>
      </c>
      <c r="F224" s="7" t="s">
        <v>744</v>
      </c>
      <c r="G224" s="7" t="s">
        <v>566</v>
      </c>
      <c r="H224" s="7" t="s">
        <v>819</v>
      </c>
      <c r="I224" s="15"/>
      <c r="J224" s="7" t="s">
        <v>746</v>
      </c>
      <c r="K224" s="16"/>
      <c r="L224" s="17" t="str">
        <f aca="false">IF(K224="","",K224-N(I224))</f>
        <v/>
      </c>
    </row>
    <row r="225" customFormat="false" ht="15" hidden="false" customHeight="false" outlineLevel="0" collapsed="false">
      <c r="A225" s="7" t="n">
        <v>5794</v>
      </c>
      <c r="B225" s="7" t="s">
        <v>61</v>
      </c>
      <c r="C225" s="7" t="s">
        <v>278</v>
      </c>
      <c r="D225" s="7" t="s">
        <v>67</v>
      </c>
      <c r="E225" s="7" t="n">
        <v>2</v>
      </c>
      <c r="F225" s="7" t="s">
        <v>747</v>
      </c>
      <c r="G225" s="7" t="s">
        <v>578</v>
      </c>
      <c r="H225" s="7" t="s">
        <v>881</v>
      </c>
      <c r="I225" s="15" t="n">
        <v>1312.6</v>
      </c>
      <c r="J225" s="7" t="s">
        <v>749</v>
      </c>
      <c r="K225" s="16"/>
      <c r="L225" s="17" t="str">
        <f aca="false">IF(K225="","",K225-N(I225))</f>
        <v/>
      </c>
    </row>
    <row r="226" customFormat="false" ht="15" hidden="false" customHeight="false" outlineLevel="0" collapsed="false">
      <c r="A226" s="7" t="n">
        <v>5794</v>
      </c>
      <c r="B226" s="7" t="s">
        <v>61</v>
      </c>
      <c r="C226" s="7" t="s">
        <v>280</v>
      </c>
      <c r="D226" s="7" t="s">
        <v>67</v>
      </c>
      <c r="E226" s="7" t="n">
        <v>1</v>
      </c>
      <c r="F226" s="7" t="s">
        <v>740</v>
      </c>
      <c r="G226" s="7" t="s">
        <v>578</v>
      </c>
      <c r="H226" s="7" t="s">
        <v>881</v>
      </c>
      <c r="I226" s="15"/>
      <c r="J226" s="7" t="s">
        <v>743</v>
      </c>
      <c r="K226" s="16"/>
      <c r="L226" s="17" t="str">
        <f aca="false">IF(K226="","",K226-N(I226))</f>
        <v/>
      </c>
    </row>
    <row r="227" customFormat="false" ht="15" hidden="false" customHeight="false" outlineLevel="0" collapsed="false">
      <c r="A227" s="7" t="n">
        <v>5794</v>
      </c>
      <c r="B227" s="7" t="s">
        <v>61</v>
      </c>
      <c r="C227" s="7" t="s">
        <v>280</v>
      </c>
      <c r="D227" s="7" t="s">
        <v>67</v>
      </c>
      <c r="E227" s="7" t="n">
        <v>2</v>
      </c>
      <c r="F227" s="7" t="s">
        <v>744</v>
      </c>
      <c r="G227" s="7" t="s">
        <v>578</v>
      </c>
      <c r="H227" s="7" t="s">
        <v>882</v>
      </c>
      <c r="I227" s="15" t="n">
        <v>220</v>
      </c>
      <c r="J227" s="7" t="s">
        <v>746</v>
      </c>
      <c r="K227" s="16"/>
      <c r="L227" s="17" t="str">
        <f aca="false">IF(K227="","",K227-N(I227))</f>
        <v/>
      </c>
    </row>
    <row r="228" customFormat="false" ht="15" hidden="false" customHeight="false" outlineLevel="0" collapsed="false">
      <c r="A228" s="7" t="n">
        <v>5794</v>
      </c>
      <c r="B228" s="7" t="s">
        <v>61</v>
      </c>
      <c r="C228" s="7" t="s">
        <v>280</v>
      </c>
      <c r="D228" s="7" t="s">
        <v>67</v>
      </c>
      <c r="E228" s="7" t="n">
        <v>3</v>
      </c>
      <c r="F228" s="7" t="s">
        <v>747</v>
      </c>
      <c r="G228" s="7" t="s">
        <v>880</v>
      </c>
      <c r="H228" s="7" t="s">
        <v>883</v>
      </c>
      <c r="I228" s="15" t="n">
        <v>1464.7</v>
      </c>
      <c r="J228" s="7" t="s">
        <v>749</v>
      </c>
      <c r="K228" s="16"/>
      <c r="L228" s="17" t="str">
        <f aca="false">IF(K228="","",K228-N(I228))</f>
        <v/>
      </c>
    </row>
    <row r="229" customFormat="false" ht="15" hidden="false" customHeight="false" outlineLevel="0" collapsed="false">
      <c r="A229" s="7" t="n">
        <v>5795</v>
      </c>
      <c r="B229" s="7" t="s">
        <v>61</v>
      </c>
      <c r="C229" s="7" t="s">
        <v>281</v>
      </c>
      <c r="D229" s="7" t="s">
        <v>92</v>
      </c>
      <c r="E229" s="7" t="n">
        <v>1</v>
      </c>
      <c r="F229" s="7" t="s">
        <v>744</v>
      </c>
      <c r="G229" s="7" t="s">
        <v>571</v>
      </c>
      <c r="H229" s="7" t="s">
        <v>819</v>
      </c>
      <c r="I229" s="15"/>
      <c r="J229" s="7" t="s">
        <v>746</v>
      </c>
      <c r="K229" s="16"/>
      <c r="L229" s="17" t="str">
        <f aca="false">IF(K229="","",K229-N(I229))</f>
        <v/>
      </c>
    </row>
    <row r="230" customFormat="false" ht="15" hidden="false" customHeight="false" outlineLevel="0" collapsed="false">
      <c r="A230" s="7" t="n">
        <v>5795</v>
      </c>
      <c r="B230" s="7" t="s">
        <v>61</v>
      </c>
      <c r="C230" s="7" t="s">
        <v>281</v>
      </c>
      <c r="D230" s="7" t="s">
        <v>92</v>
      </c>
      <c r="E230" s="7" t="n">
        <v>2</v>
      </c>
      <c r="F230" s="7" t="s">
        <v>747</v>
      </c>
      <c r="G230" s="7" t="s">
        <v>578</v>
      </c>
      <c r="H230" s="7" t="s">
        <v>850</v>
      </c>
      <c r="I230" s="15" t="n">
        <v>1111.6</v>
      </c>
      <c r="J230" s="7" t="s">
        <v>749</v>
      </c>
      <c r="K230" s="16"/>
      <c r="L230" s="17" t="str">
        <f aca="false">IF(K230="","",K230-N(I230))</f>
        <v/>
      </c>
    </row>
    <row r="231" customFormat="false" ht="15" hidden="false" customHeight="false" outlineLevel="0" collapsed="false">
      <c r="A231" s="7" t="n">
        <v>5795</v>
      </c>
      <c r="B231" s="7" t="s">
        <v>61</v>
      </c>
      <c r="C231" s="7" t="s">
        <v>282</v>
      </c>
      <c r="D231" s="7" t="s">
        <v>92</v>
      </c>
      <c r="E231" s="7" t="n">
        <v>1</v>
      </c>
      <c r="F231" s="7" t="s">
        <v>740</v>
      </c>
      <c r="G231" s="7" t="s">
        <v>576</v>
      </c>
      <c r="H231" s="7" t="s">
        <v>850</v>
      </c>
      <c r="I231" s="15"/>
      <c r="J231" s="7" t="s">
        <v>743</v>
      </c>
      <c r="K231" s="16"/>
      <c r="L231" s="17" t="str">
        <f aca="false">IF(K231="","",K231-N(I231))</f>
        <v/>
      </c>
    </row>
    <row r="232" customFormat="false" ht="15" hidden="false" customHeight="false" outlineLevel="0" collapsed="false">
      <c r="A232" s="7" t="n">
        <v>5795</v>
      </c>
      <c r="B232" s="7" t="s">
        <v>61</v>
      </c>
      <c r="C232" s="7" t="s">
        <v>282</v>
      </c>
      <c r="D232" s="7" t="s">
        <v>92</v>
      </c>
      <c r="E232" s="7" t="n">
        <v>2</v>
      </c>
      <c r="F232" s="7" t="s">
        <v>744</v>
      </c>
      <c r="G232" s="7" t="s">
        <v>566</v>
      </c>
      <c r="H232" s="7" t="s">
        <v>884</v>
      </c>
      <c r="I232" s="15" t="n">
        <v>59.1</v>
      </c>
      <c r="J232" s="7" t="s">
        <v>746</v>
      </c>
      <c r="K232" s="16"/>
      <c r="L232" s="17" t="str">
        <f aca="false">IF(K232="","",K232-N(I232))</f>
        <v/>
      </c>
    </row>
    <row r="233" customFormat="false" ht="15" hidden="false" customHeight="false" outlineLevel="0" collapsed="false">
      <c r="A233" s="7" t="n">
        <v>5795</v>
      </c>
      <c r="B233" s="7" t="s">
        <v>61</v>
      </c>
      <c r="C233" s="7" t="s">
        <v>282</v>
      </c>
      <c r="D233" s="7" t="s">
        <v>92</v>
      </c>
      <c r="E233" s="7" t="n">
        <v>3</v>
      </c>
      <c r="F233" s="7" t="s">
        <v>747</v>
      </c>
      <c r="G233" s="7" t="s">
        <v>578</v>
      </c>
      <c r="H233" s="7" t="s">
        <v>885</v>
      </c>
      <c r="I233" s="15" t="n">
        <v>1164.9</v>
      </c>
      <c r="J233" s="7" t="s">
        <v>749</v>
      </c>
      <c r="K233" s="16"/>
      <c r="L233" s="17" t="str">
        <f aca="false">IF(K233="","",K233-N(I233))</f>
        <v/>
      </c>
    </row>
    <row r="234" customFormat="false" ht="15" hidden="false" customHeight="false" outlineLevel="0" collapsed="false">
      <c r="A234" s="12" t="s">
        <v>95</v>
      </c>
      <c r="I234" s="20" t="n">
        <f aca="false">SUM(I5:I233)</f>
        <v>114684.2</v>
      </c>
      <c r="K234" s="20" t="n">
        <f aca="false">SUM(K5:K233)</f>
        <v>0</v>
      </c>
      <c r="L234" s="20" t="n">
        <f aca="false">SUM(L5:L233)</f>
        <v>0</v>
      </c>
    </row>
  </sheetData>
  <autoFilter ref="A4:L233"/>
  <conditionalFormatting sqref="L5:L233">
    <cfRule type="cellIs" priority="2" operator="not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2026-09-04T23:31:59Z</dcterms:created>
  <dc:creator>openpyxl</dc:creator>
  <dc:description/>
  <dc:language>en-US</dc:language>
  <cp:lastModifiedBy/>
  <dcterms:modified xsi:type="dcterms:W3CDTF">2026-09-04T23:31:59Z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