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ample Transactions" sheetId="2" state="visible" r:id="rId4"/>
    <sheet name="P&amp;L Comparison" sheetId="3" state="visible" r:id="rId5"/>
    <sheet name="Balance Sheet" sheetId="4" state="visible" r:id="rId6"/>
    <sheet name="Cash Flow Statement" sheetId="5" state="visible" r:id="rId7"/>
    <sheet name="Trial Balance" sheetId="6" state="visible" r:id="rId8"/>
    <sheet name="AR-AP Aging Note" sheetId="7" state="visible" r:id="rId9"/>
    <sheet name="Reviewer Commen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<sst xmlns="http://schemas.openxmlformats.org/spreadsheetml/2006/main" count="352" uniqueCount="268">
  <si>
    <t xml:space="preserve">BLOCK 20 — Cash vs Accrual Reporting</t>
  </si>
  <si>
    <t xml:space="preserve">Validation Workbook for CPA / Bookkeeper Review</t>
  </si>
  <si>
    <t xml:space="preserve">Companion to BLOCK_20_DESIGN_DOC.docx</t>
  </si>
  <si>
    <t xml:space="preserve">Purpose</t>
  </si>
  <si>
    <t xml:space="preserve">This workbook contains 8 worked numerical examples of how cash-basis and accrual-basis reporting differ for the same underlying transactions. The proposed system behavior is shown in the Expected columns of each sheet. Reviewers verify that the expected numbers are correct under each basis. Any disagreement should be marked up in the workbook and the proposal will be revised.</t>
  </si>
  <si>
    <t xml:space="preserve">How to use this workbook</t>
  </si>
  <si>
    <t xml:space="preserve">Sheet</t>
  </si>
  <si>
    <t xml:space="preserve">Contents</t>
  </si>
  <si>
    <t xml:space="preserve">Sheet 1 — README</t>
  </si>
  <si>
    <t xml:space="preserve">This sheet. Overview and reading guide.</t>
  </si>
  <si>
    <t xml:space="preserve">Sheet 2 — Sample Transactions</t>
  </si>
  <si>
    <t xml:space="preserve">Input data: 8 scenarios with raw events (invoices, payments, voids, etc.). These are the inputs to all subsequent sheets.</t>
  </si>
  <si>
    <t xml:space="preserve">Sheet 3 — P&amp;L Comparison</t>
  </si>
  <si>
    <t xml:space="preserve">Profit &amp; Loss expected outputs on both bases. For each scenario, shows accrual-basis P&amp;L vs cash-basis P&amp;L, with difference and rationale.</t>
  </si>
  <si>
    <t xml:space="preserve">Sheet 4 — Balance Sheet Comparison</t>
  </si>
  <si>
    <t xml:space="preserve">Balance Sheet expected outputs on both bases, with AR/AP treatment under cash basis.</t>
  </si>
  <si>
    <t xml:space="preserve">Sheet 5 — Cash Flow Statement</t>
  </si>
  <si>
    <t xml:space="preserve">Cash Flow Statement under both bases. Shows why cash-basis CFS is structurally simpler.</t>
  </si>
  <si>
    <t xml:space="preserve">Sheet 6 — Trial Balance Comparison</t>
  </si>
  <si>
    <t xml:space="preserve">Trial Balance under both bases. Demonstrates AR/AP suppression on cash basis.</t>
  </si>
  <si>
    <t xml:space="preserve">Sheet 7 — AR/AP Aging Note</t>
  </si>
  <si>
    <t xml:space="preserve">Why AR Aging and AP Aging do not have a basis toggle (always accrual-side reports). For CPA confirmation.</t>
  </si>
  <si>
    <t xml:space="preserve">Sheet 8 — Reviewer Comments</t>
  </si>
  <si>
    <t xml:space="preserve">Blank sheet for CPA and bookkeeper notes. Mark up cells with any disagreements or questions.</t>
  </si>
  <si>
    <t xml:space="preserve">Color coding (industry standard for financial models)</t>
  </si>
  <si>
    <t xml:space="preserve">Element</t>
  </si>
  <si>
    <t xml:space="preserve">Meaning</t>
  </si>
  <si>
    <t xml:space="preserve">Blue text</t>
  </si>
  <si>
    <t xml:space="preserve">Hardcoded input value</t>
  </si>
  <si>
    <t xml:space="preserve">Black text</t>
  </si>
  <si>
    <t xml:space="preserve">Formula or computed value</t>
  </si>
  <si>
    <t xml:space="preserve">Green text</t>
  </si>
  <si>
    <t xml:space="preserve">Cross-sheet reference (pulled from another worksheet)</t>
  </si>
  <si>
    <t xml:space="preserve">Red text</t>
  </si>
  <si>
    <t xml:space="preserve">External link or pending review attention</t>
  </si>
  <si>
    <t xml:space="preserve">Light blue fill</t>
  </si>
  <si>
    <t xml:space="preserve">Accrual-basis section</t>
  </si>
  <si>
    <t xml:space="preserve">Light green fill</t>
  </si>
  <si>
    <t xml:space="preserve">Cash-basis section</t>
  </si>
  <si>
    <t xml:space="preserve">Yellow fill</t>
  </si>
  <si>
    <t xml:space="preserve">Key assumption needing attention or reviewer confirmation</t>
  </si>
  <si>
    <t xml:space="preserve">How to provide feedback</t>
  </si>
  <si>
    <t xml:space="preserve">If you agree with an expected number, leave the cell alone. If you disagree, write your corrected value in red (or use Excel comments) and explain in the Reviewer Comments sheet. If a scenario is missing a transaction type the system should handle, note it on the Reviewer Comments sheet — it can be added to a follow-up workbook revision.</t>
  </si>
  <si>
    <t xml:space="preserve">Document version</t>
  </si>
  <si>
    <t xml:space="preserve">0.1 (initial draft)</t>
  </si>
  <si>
    <t xml:space="preserve">Date prepared</t>
  </si>
  <si>
    <t xml:space="preserve">2026-05-20</t>
  </si>
  <si>
    <t xml:space="preserve">Prepared by</t>
  </si>
  <si>
    <t xml:space="preserve">Claude (engineering AI) for Jorge Pablo Munoz</t>
  </si>
  <si>
    <t xml:space="preserve">Sample Transactions — Input Data</t>
  </si>
  <si>
    <t xml:space="preserve">These transactions drive all expected outputs on subsequent sheets. Reporting period: January 2026 (P&amp;L) and as-of 2026-01-31 (Balance Sheet).</t>
  </si>
  <si>
    <t xml:space="preserve">Scenario #</t>
  </si>
  <si>
    <t xml:space="preserve">Description</t>
  </si>
  <si>
    <t xml:space="preserve">Date</t>
  </si>
  <si>
    <t xml:space="preserve">Event Type</t>
  </si>
  <si>
    <t xml:space="preserve">Entity</t>
  </si>
  <si>
    <t xml:space="preserve">Amount</t>
  </si>
  <si>
    <t xml:space="preserve">Linked Invoice #</t>
  </si>
  <si>
    <t xml:space="preserve">Notes</t>
  </si>
  <si>
    <t xml:space="preserve">Same-period invoice + payment</t>
  </si>
  <si>
    <t xml:space="preserve">2026-01-15</t>
  </si>
  <si>
    <t xml:space="preserve">Invoice issued</t>
  </si>
  <si>
    <t xml:space="preserve">Customer A</t>
  </si>
  <si>
    <t xml:space="preserve">INV-001</t>
  </si>
  <si>
    <t xml:space="preserve">Linehaul revenue</t>
  </si>
  <si>
    <t xml:space="preserve">2026-01-20</t>
  </si>
  <si>
    <t xml:space="preserve">Payment received</t>
  </si>
  <si>
    <t xml:space="preserve">Full payment of INV-001</t>
  </si>
  <si>
    <t xml:space="preserve">Cross-period invoice (paid next period)</t>
  </si>
  <si>
    <t xml:space="preserve">2026-01-25</t>
  </si>
  <si>
    <t xml:space="preserve">Customer B</t>
  </si>
  <si>
    <t xml:space="preserve">INV-002</t>
  </si>
  <si>
    <t xml:space="preserve">2026-02-05</t>
  </si>
  <si>
    <t xml:space="preserve">Full payment in February</t>
  </si>
  <si>
    <t xml:space="preserve">Partial payments across periods</t>
  </si>
  <si>
    <t xml:space="preserve">2026-01-10</t>
  </si>
  <si>
    <t xml:space="preserve">Customer C</t>
  </si>
  <si>
    <t xml:space="preserve">INV-003</t>
  </si>
  <si>
    <t xml:space="preserve">First partial payment</t>
  </si>
  <si>
    <t xml:space="preserve">2026-02-10</t>
  </si>
  <si>
    <t xml:space="preserve">Second partial payment</t>
  </si>
  <si>
    <t xml:space="preserve">Unpaid invoice as of period end</t>
  </si>
  <si>
    <t xml:space="preserve">Customer D</t>
  </si>
  <si>
    <t xml:space="preserve">INV-004</t>
  </si>
  <si>
    <t xml:space="preserve">Linehaul revenue; no payment in January</t>
  </si>
  <si>
    <t xml:space="preserve">Voided invoice (never paid)</t>
  </si>
  <si>
    <t xml:space="preserve">2026-01-05</t>
  </si>
  <si>
    <t xml:space="preserve">Customer E</t>
  </si>
  <si>
    <t xml:space="preserve">INV-005</t>
  </si>
  <si>
    <t xml:space="preserve">Original invoice</t>
  </si>
  <si>
    <t xml:space="preserve">Invoice voided</t>
  </si>
  <si>
    <t xml:space="preserve">Reversal — never paid</t>
  </si>
  <si>
    <t xml:space="preserve">Credit memo applied to invoice</t>
  </si>
  <si>
    <t xml:space="preserve">Customer F</t>
  </si>
  <si>
    <t xml:space="preserve">INV-006</t>
  </si>
  <si>
    <t xml:space="preserve">Credit memo issued</t>
  </si>
  <si>
    <t xml:space="preserve">Adjustment for damaged freight</t>
  </si>
  <si>
    <t xml:space="preserve">Net payment after credit memo</t>
  </si>
  <si>
    <t xml:space="preserve">Bill paid in next period</t>
  </si>
  <si>
    <t xml:space="preserve">2026-01-30</t>
  </si>
  <si>
    <t xml:space="preserve">Bill received</t>
  </si>
  <si>
    <t xml:space="preserve">Vendor X (Fuel)</t>
  </si>
  <si>
    <t xml:space="preserve">BILL-001</t>
  </si>
  <si>
    <t xml:space="preserve">Fuel for January operations</t>
  </si>
  <si>
    <t xml:space="preserve">2026-02-15</t>
  </si>
  <si>
    <t xml:space="preserve">Bill payment</t>
  </si>
  <si>
    <t xml:space="preserve">Payment cleared bank Feb 15</t>
  </si>
  <si>
    <t xml:space="preserve">Factoring advance (OPEN — see Q1)</t>
  </si>
  <si>
    <t xml:space="preserve">Customer G</t>
  </si>
  <si>
    <t xml:space="preserve">INV-008</t>
  </si>
  <si>
    <t xml:space="preserve">2026-01-07</t>
  </si>
  <si>
    <t xml:space="preserve">Factor advance received</t>
  </si>
  <si>
    <t xml:space="preserve">80% advance from factor; AR shifts to factor reserve</t>
  </si>
  <si>
    <t xml:space="preserve">2026-02-20</t>
  </si>
  <si>
    <t xml:space="preserve">Customer pays factor</t>
  </si>
  <si>
    <t xml:space="preserve">Reserve released minus $200 factoring fee</t>
  </si>
  <si>
    <t xml:space="preserve">Profit &amp; Loss — Accrual vs Cash</t>
  </si>
  <si>
    <t xml:space="preserve">Period: January 2026. Expected outputs under each basis, per scenario.</t>
  </si>
  <si>
    <t xml:space="preserve">Scenario</t>
  </si>
  <si>
    <t xml:space="preserve">Accrual Revenue (Jan)</t>
  </si>
  <si>
    <t xml:space="preserve">Cash Revenue (Jan)</t>
  </si>
  <si>
    <t xml:space="preserve">Accrual Expense (Jan)</t>
  </si>
  <si>
    <t xml:space="preserve">Cash Expense (Jan)</t>
  </si>
  <si>
    <t xml:space="preserve">Accrual Net Income (Jan)</t>
  </si>
  <si>
    <t xml:space="preserve">Cash Net Income (Jan)</t>
  </si>
  <si>
    <t xml:space="preserve">Rationale</t>
  </si>
  <si>
    <t xml:space="preserve">Factoring advance (OPEN Q1)</t>
  </si>
  <si>
    <t xml:space="preserve">TBD</t>
  </si>
  <si>
    <t xml:space="preserve">TOTAL</t>
  </si>
  <si>
    <t xml:space="preserve">January totals (scenarios 1-7; scenario 8 excluded pending CPA decision)</t>
  </si>
  <si>
    <t xml:space="preserve">Key observations</t>
  </si>
  <si>
    <t xml:space="preserve">• Scenarios 1, 5: Accrual and cash agree because cash event and accrual event happen in the same period.</t>
  </si>
  <si>
    <t xml:space="preserve">• Scenarios 2, 3, 4, 6, 7: Accrual recognizes the economic event in January; cash defers recognition to when cash moves.</t>
  </si>
  <si>
    <t xml:space="preserve">• Scenario 8 (factoring): Cash-basis treatment depends on CPA decision (Open Q1). The $10,000 accrual revenue is uncontested.</t>
  </si>
  <si>
    <t xml:space="preserve">• January totals exclude scenario 8 to keep the comparison clean while the factoring decision is pending.</t>
  </si>
  <si>
    <t xml:space="preserve">Balance Sheet — Accrual vs Cash</t>
  </si>
  <si>
    <t xml:space="preserve">As of 2026-01-31. Showing how AR is suppressed and equity adjusts on cash basis.</t>
  </si>
  <si>
    <t xml:space="preserve">Line Item</t>
  </si>
  <si>
    <t xml:space="preserve">Accrual Basis</t>
  </si>
  <si>
    <t xml:space="preserve">Cash Basis</t>
  </si>
  <si>
    <t xml:space="preserve">Difference</t>
  </si>
  <si>
    <t xml:space="preserve">Rationale / Notes</t>
  </si>
  <si>
    <t xml:space="preserve">ASSETS</t>
  </si>
  <si>
    <t xml:space="preserve">Cash (operating)</t>
  </si>
  <si>
    <t xml:space="preserve">Same on both: $50k opening + $1,000 (sc 1) + $1,500 (sc 3) - $0 expense payments in Jan. Scenarios 2, 4, 5, 6, 7 had no Jan cash effect.</t>
  </si>
  <si>
    <t xml:space="preserve">Accounts Receivable</t>
  </si>
  <si>
    <t xml:space="preserve">Accrual: sum of unpaid invoices: $0 (sc 1) + $2000 (sc 2) + $1500 (sc 3) + $4000 (sc 4) + $0 (sc 5 voided) + $5000 (sc 6) + $0 (sc 7 - bill) + sc 8 depends on Q1 = $13,000 base. Cash: $0 (suppressed).</t>
  </si>
  <si>
    <t xml:space="preserve">Total Assets</t>
  </si>
  <si>
    <t xml:space="preserve">Formula</t>
  </si>
  <si>
    <t xml:space="preserve">LIABILITIES</t>
  </si>
  <si>
    <t xml:space="preserve">Accounts Payable</t>
  </si>
  <si>
    <t xml:space="preserve">Accrual: BILL-001 unpaid at Jan 31 = $500. Cash: $0 (suppressed).</t>
  </si>
  <si>
    <t xml:space="preserve">Total Liabilities</t>
  </si>
  <si>
    <t xml:space="preserve">EQUITY</t>
  </si>
  <si>
    <t xml:space="preserve">Opening Retained Earnings</t>
  </si>
  <si>
    <t xml:space="preserve">Opening balance same on both bases (assumed).</t>
  </si>
  <si>
    <t xml:space="preserve">Current Period Net Income</t>
  </si>
  <si>
    <t xml:space="preserve">From P&amp;L Comparison sheet totals. Accrual: $15,000. Cash: $2,500.</t>
  </si>
  <si>
    <t xml:space="preserve">Total Equity</t>
  </si>
  <si>
    <t xml:space="preserve">TOTAL LIABILITIES + EQUITY</t>
  </si>
  <si>
    <t xml:space="preserve">Formula. Must equal Total Assets on both sides.</t>
  </si>
  <si>
    <t xml:space="preserve">Balance check</t>
  </si>
  <si>
    <t xml:space="preserve">Total Assets minus Total Liab+Equity. Should be zero on both bases.</t>
  </si>
  <si>
    <t xml:space="preserve">Cash Flow Statement — Accrual vs Cash</t>
  </si>
  <si>
    <t xml:space="preserve">Period: January 2026. Cash-basis CFS is structurally simpler (net income already equals net cash from operations).</t>
  </si>
  <si>
    <t xml:space="preserve">Section / Line</t>
  </si>
  <si>
    <t xml:space="preserve">OPERATING ACTIVITIES</t>
  </si>
  <si>
    <t xml:space="preserve">Net Income</t>
  </si>
  <si>
    <t xml:space="preserve">From P&amp;L. Accrual: $15,000. Cash: $2,500.</t>
  </si>
  <si>
    <t xml:space="preserve">(+) Increase in AR</t>
  </si>
  <si>
    <t xml:space="preserve">Accrual only: AR grew $13,000 in Jan (unpaid invoices). Cash basis has no AR.</t>
  </si>
  <si>
    <t xml:space="preserve">(+) Increase in AP</t>
  </si>
  <si>
    <t xml:space="preserve">Accrual only: AP grew $500 in Jan (BILL-001 unpaid).</t>
  </si>
  <si>
    <t xml:space="preserve">Net Cash from Operations</t>
  </si>
  <si>
    <t xml:space="preserve">INVESTING ACTIVITIES</t>
  </si>
  <si>
    <t xml:space="preserve">(No investing activity in Jan)</t>
  </si>
  <si>
    <t xml:space="preserve">Same on both bases. Future periods may have asset purchases.</t>
  </si>
  <si>
    <t xml:space="preserve">Net Cash from Investing</t>
  </si>
  <si>
    <t xml:space="preserve">FINANCING ACTIVITIES</t>
  </si>
  <si>
    <t xml:space="preserve">(No financing activity in Jan)</t>
  </si>
  <si>
    <t xml:space="preserve">Same on both bases.</t>
  </si>
  <si>
    <t xml:space="preserve">Net Cash from Financing</t>
  </si>
  <si>
    <t xml:space="preserve">Net Change in Cash</t>
  </si>
  <si>
    <t xml:space="preserve">Operating + Investing + Financing. Should equal Balance Sheet cash change.</t>
  </si>
  <si>
    <t xml:space="preserve">Opening Cash</t>
  </si>
  <si>
    <t xml:space="preserve">Closing Cash</t>
  </si>
  <si>
    <t xml:space="preserve">Opening + Net Change. Must match Balance Sheet cash.</t>
  </si>
  <si>
    <t xml:space="preserve">Key insight</t>
  </si>
  <si>
    <t xml:space="preserve">On cash basis, Net Income from P&amp;L equals Net Cash from Operations on the CFS. No working capital reconciliation is needed. This is by design and follows the definition of cash basis: revenue = cash received, expense = cash paid. The investing and financing sections are unchanged between bases — they track actual cash movements either way.</t>
  </si>
  <si>
    <t xml:space="preserve">Trial Balance — Accrual vs Cash</t>
  </si>
  <si>
    <t xml:space="preserve">As of 2026-01-31. Demonstrates how AR/AP control accounts are suppressed under cash basis.</t>
  </si>
  <si>
    <t xml:space="preserve">Account #</t>
  </si>
  <si>
    <t xml:space="preserve">Account Name</t>
  </si>
  <si>
    <t xml:space="preserve">Account Type</t>
  </si>
  <si>
    <t xml:space="preserve">Accrual Debit</t>
  </si>
  <si>
    <t xml:space="preserve">Accrual Credit</t>
  </si>
  <si>
    <t xml:space="preserve">Cash Debit</t>
  </si>
  <si>
    <t xml:space="preserve">Cash Credit</t>
  </si>
  <si>
    <t xml:space="preserve">1100</t>
  </si>
  <si>
    <t xml:space="preserve">Cash (Operating)</t>
  </si>
  <si>
    <t xml:space="preserve">Asset</t>
  </si>
  <si>
    <t xml:space="preserve">1200</t>
  </si>
  <si>
    <t xml:space="preserve">SUPPRESSED on cash basis (per Q3 — show zero, do not omit).</t>
  </si>
  <si>
    <t xml:space="preserve">1500</t>
  </si>
  <si>
    <t xml:space="preserve">Inventory</t>
  </si>
  <si>
    <t xml:space="preserve">No inventory transactions in sample.</t>
  </si>
  <si>
    <t xml:space="preserve">2100</t>
  </si>
  <si>
    <t xml:space="preserve">Liability</t>
  </si>
  <si>
    <t xml:space="preserve">SUPPRESSED on cash basis.</t>
  </si>
  <si>
    <t xml:space="preserve">3100</t>
  </si>
  <si>
    <t xml:space="preserve">Owner's Capital / Opening RE</t>
  </si>
  <si>
    <t xml:space="preserve">Equity</t>
  </si>
  <si>
    <t xml:space="preserve">3200</t>
  </si>
  <si>
    <t xml:space="preserve">Differs: accrual recognizes invoiced revenue; cash recognizes received payments only.</t>
  </si>
  <si>
    <t xml:space="preserve">4000</t>
  </si>
  <si>
    <t xml:space="preserve">Linehaul Revenue</t>
  </si>
  <si>
    <t xml:space="preserve">Revenue</t>
  </si>
  <si>
    <t xml:space="preserve">Accrual: sum of invoiced amounts (sc 1-6, less sc 5 void). Cash: sum of payments received in Jan.</t>
  </si>
  <si>
    <t xml:space="preserve">5000</t>
  </si>
  <si>
    <t xml:space="preserve">Fuel Expense</t>
  </si>
  <si>
    <t xml:space="preserve">Expense</t>
  </si>
  <si>
    <t xml:space="preserve">Accrual: BILL-001 dated Jan. Cash: $0 in Jan (paid Feb).</t>
  </si>
  <si>
    <t xml:space="preserve">GRAND TOTALS</t>
  </si>
  <si>
    <t xml:space="preserve">Must balance: Debits = Credits on both bases.</t>
  </si>
  <si>
    <t xml:space="preserve">Accrual Debits - Accrual Credits</t>
  </si>
  <si>
    <t xml:space="preserve">Cash Debits - Cash Credits</t>
  </si>
  <si>
    <t xml:space="preserve">AR Aging and AP Aging — Always Accrual</t>
  </si>
  <si>
    <t xml:space="preserve">Why these reports do not have a cash/accrual toggle.</t>
  </si>
  <si>
    <t xml:space="preserve">The case</t>
  </si>
  <si>
    <t xml:space="preserve">AR Aging is a snapshot of unpaid customer invoices, bucketed by how many days past due. AP Aging is the mirror: unpaid vendor bills bucketed by age. Both reports are by definition about the accrual-side concept of "open balance" — money that has been invoiced or billed but not yet settled in cash. On cash basis, unpaid invoices and bills don't exist as recognized economic events; they have not happened yet from the cash perspective. Therefore, AR/AP Aging on cash basis would be either empty (all zeros) or conceptually contradictory (showing accrual-side balances on a cash-side report).</t>
  </si>
  <si>
    <t xml:space="preserve">Recommendation</t>
  </si>
  <si>
    <t xml:space="preserve">AR Aging and AP Aging always show accrual-basis data. No basis toggle on these pages. Page label clarifies: "Open invoices — always accrual basis" (and the same for AP).</t>
  </si>
  <si>
    <t xml:space="preserve">QuickBooks reference</t>
  </si>
  <si>
    <t xml:space="preserve">QuickBooks Online does not provide a cash-basis toggle on its A/R Aging Summary or A/P Aging Summary reports. The toggle is available only on financial statements (P&amp;L, Balance Sheet, etc.). Our proposal matches this QBO convention.</t>
  </si>
  <si>
    <t xml:space="preserve">Reviewer question Q4</t>
  </si>
  <si>
    <t xml:space="preserve">Do you agree that AR Aging and AP Aging should not have a basis toggle? If you disagree, please describe the use case for cash-basis AR Aging that would justify the toggle.</t>
  </si>
  <si>
    <t xml:space="preserve">Reviewer Comments</t>
  </si>
  <si>
    <t xml:space="preserve">Space for CPA and bookkeeper notes. Add any disagreements, missing scenarios, or implementation concerns here.</t>
  </si>
  <si>
    <t xml:space="preserve">Reviewer</t>
  </si>
  <si>
    <t xml:space="preserve">Section / Sheet referenced</t>
  </si>
  <si>
    <t xml:space="preserve">Concern / Question / Correction</t>
  </si>
  <si>
    <t xml:space="preserve">Suggested resolution</t>
  </si>
  <si>
    <t xml:space="preserve">CPA</t>
  </si>
  <si>
    <t xml:space="preserve">Sec 5.4 (Factoring) / Q1</t>
  </si>
  <si>
    <t xml:space="preserve">Which of the three factoring treatments — Option A, B, or C — should be implemented for cash basis?</t>
  </si>
  <si>
    <t xml:space="preserve">Sec 4.3 (Balance Sheet) / Q2</t>
  </si>
  <si>
    <t xml:space="preserve">Should cash-basis Balance Sheet show a separate "Cash Basis Adjustment" line under equity, or let retained earnings absorb the AR-AP difference silently?</t>
  </si>
  <si>
    <t xml:space="preserve">Sec 4.1 (Trial Balance) / Q3</t>
  </si>
  <si>
    <t xml:space="preserve">Should AR and AP show as zero (for transparency) on cash-basis Trial Balance, or be omitted entirely?</t>
  </si>
  <si>
    <t xml:space="preserve">CPA / Bookkeeper</t>
  </si>
  <si>
    <t xml:space="preserve">Sec 4.5, 4.6 (AR/AP Aging) / Q4</t>
  </si>
  <si>
    <t xml:space="preserve">Confirm: AR/AP Aging always accrual, no basis toggle?</t>
  </si>
  <si>
    <t xml:space="preserve">Bookkeeper</t>
  </si>
  <si>
    <t xml:space="preserve">Sec 5.5 (Driver settlements) / Q5</t>
  </si>
  <si>
    <t xml:space="preserve">Is the cash-basis driver pay expense recognized at bank settlement date, or some earlier "payment initiated" date?</t>
  </si>
  <si>
    <t xml:space="preserve">Sec 5.6 (Refunds) / Q6</t>
  </si>
  <si>
    <t xml:space="preserve">Should customer refunds be negative revenue or separate expense line? Same for vendor refunds.</t>
  </si>
  <si>
    <t xml:space="preserve">Engineering / User</t>
  </si>
  <si>
    <t xml:space="preserve">Sec 6.2 (Frontend default) / Q7</t>
  </si>
  <si>
    <t xml:space="preserve">Should the basis selector default to Accrual on first load, or remember last-used basis per user?</t>
  </si>
  <si>
    <t xml:space="preserve">Sec 4 (IFTA) / Q8</t>
  </si>
  <si>
    <t xml:space="preserve">Should quarterly IFTA reports be on accrual or cash basis?</t>
  </si>
  <si>
    <t xml:space="preserve">Engineering / CPA</t>
  </si>
  <si>
    <t xml:space="preserve">Sec 6 (Period close) / Q9</t>
  </si>
  <si>
    <t xml:space="preserve">When an accounting period is formally closed, do cash-basis numbers also lock, or is cash transformation always recomputed on the fly?</t>
  </si>
  <si>
    <t xml:space="preserve">Any reviewer</t>
  </si>
  <si>
    <t xml:space="preserve">General / Q10</t>
  </si>
  <si>
    <t xml:space="preserve">Any other accounting nuances or scenarios that should be addressed but are not listed in this design?</t>
  </si>
</sst>
</file>

<file path=xl/styles.xml><?xml version="1.0" encoding="utf-8"?>
<styleSheet xmlns="http://schemas.openxmlformats.org/spreadsheetml/2006/main">
  <numFmts count="2">
    <numFmt numFmtId="164" formatCode="General"/>
    <numFmt numFmtId="165" formatCode="_(\$* #,##0.00_);_(\$* \(#,##0.00\);_(\$* \-??_);_(@_)"/>
  </numFmts>
  <fonts count="12">
    <font>
      <sz val="11"/>
      <color theme="1"/>
      <name val="Calibri"/>
      <family val="2"/>
      <charset val="1"/>
    </font>
    <font>
      <sz val="10"/>
      <name val="Arial"/>
      <family val="0"/>
    </font>
    <font>
      <sz val="10"/>
      <name val="Arial"/>
      <family val="0"/>
    </font>
    <font>
      <sz val="10"/>
      <name val="Arial"/>
      <family val="0"/>
    </font>
    <font>
      <b val="true"/>
      <sz val="16"/>
      <color rgb="FF000000"/>
      <name val="Arial"/>
      <family val="0"/>
      <charset val="1"/>
    </font>
    <font>
      <b val="true"/>
      <sz val="13"/>
      <color rgb="FF000000"/>
      <name val="Arial"/>
      <family val="0"/>
      <charset val="1"/>
    </font>
    <font>
      <i val="true"/>
      <sz val="10"/>
      <color rgb="FF666666"/>
      <name val="Arial"/>
      <family val="0"/>
      <charset val="1"/>
    </font>
    <font>
      <sz val="11"/>
      <color rgb="FF000000"/>
      <name val="Arial"/>
      <family val="0"/>
      <charset val="1"/>
    </font>
    <font>
      <b val="true"/>
      <sz val="11"/>
      <color rgb="FF000000"/>
      <name val="Arial"/>
      <family val="0"/>
      <charset val="1"/>
    </font>
    <font>
      <sz val="11"/>
      <color rgb="FF0000FF"/>
      <name val="Arial"/>
      <family val="0"/>
      <charset val="1"/>
    </font>
    <font>
      <sz val="11"/>
      <color rgb="FF008000"/>
      <name val="Arial"/>
      <family val="0"/>
      <charset val="1"/>
    </font>
    <font>
      <b val="true"/>
      <sz val="11"/>
      <color rgb="FFC00000"/>
      <name val="Arial"/>
      <family val="0"/>
      <charset val="1"/>
    </font>
  </fonts>
  <fills count="6">
    <fill>
      <patternFill patternType="none"/>
    </fill>
    <fill>
      <patternFill patternType="gray125"/>
    </fill>
    <fill>
      <patternFill patternType="solid">
        <fgColor rgb="FFE8E8E8"/>
        <bgColor rgb="FFE2EFDA"/>
      </patternFill>
    </fill>
    <fill>
      <patternFill patternType="solid">
        <fgColor rgb="FFDDEBF7"/>
        <bgColor rgb="FFE8E8E8"/>
      </patternFill>
    </fill>
    <fill>
      <patternFill patternType="solid">
        <fgColor rgb="FFE2EFDA"/>
        <bgColor rgb="FFE8E8E8"/>
      </patternFill>
    </fill>
    <fill>
      <patternFill patternType="solid">
        <fgColor rgb="FFFFF2CC"/>
        <bgColor rgb="FFE2EFDA"/>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5" fontId="9"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5" fontId="9" fillId="3" borderId="1" xfId="0" applyFont="true" applyBorder="true" applyAlignment="true" applyProtection="false">
      <alignment horizontal="right"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5" fontId="9" fillId="5" borderId="1" xfId="0" applyFont="true" applyBorder="true" applyAlignment="true" applyProtection="false">
      <alignment horizontal="right" vertical="center" textRotation="0" wrapText="false" indent="0" shrinkToFit="false"/>
      <protection locked="true" hidden="false"/>
    </xf>
    <xf numFmtId="165" fontId="8" fillId="0" borderId="1" xfId="0" applyFont="true" applyBorder="true" applyAlignment="true" applyProtection="false">
      <alignment horizontal="right" vertical="center" textRotation="0" wrapText="false" indent="0" shrinkToFit="false"/>
      <protection locked="true" hidden="false"/>
    </xf>
    <xf numFmtId="164" fontId="11" fillId="5" borderId="1" xfId="0" applyFont="true" applyBorder="true" applyAlignment="true" applyProtection="false">
      <alignment horizontal="right" vertical="center" textRotation="0" wrapText="false" indent="0" shrinkToFit="false"/>
      <protection locked="true" hidden="false"/>
    </xf>
    <xf numFmtId="165" fontId="8" fillId="2" borderId="1" xfId="0" applyFont="true" applyBorder="true" applyAlignment="true" applyProtection="false">
      <alignment horizontal="righ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2"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8E8E8"/>
      <rgbColor rgb="FFC0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90"/>
  </cols>
  <sheetData>
    <row r="1" customFormat="false" ht="19.7" hidden="false" customHeight="false" outlineLevel="0" collapsed="false">
      <c r="A1" s="1" t="s">
        <v>0</v>
      </c>
    </row>
    <row r="2" customFormat="false" ht="16.15" hidden="false" customHeight="false" outlineLevel="0" collapsed="false">
      <c r="A2" s="2" t="s">
        <v>1</v>
      </c>
    </row>
    <row r="3" customFormat="false" ht="15" hidden="false" customHeight="false" outlineLevel="0" collapsed="false">
      <c r="A3" s="3" t="s">
        <v>2</v>
      </c>
    </row>
    <row r="5" customFormat="false" ht="16.15" hidden="false" customHeight="false" outlineLevel="0" collapsed="false">
      <c r="A5" s="2" t="s">
        <v>3</v>
      </c>
    </row>
    <row r="6" customFormat="false" ht="79.5" hidden="false" customHeight="true" outlineLevel="0" collapsed="false">
      <c r="A6" s="4" t="s">
        <v>4</v>
      </c>
    </row>
    <row r="8" customFormat="false" ht="16.15" hidden="false" customHeight="false" outlineLevel="0" collapsed="false">
      <c r="A8" s="2" t="s">
        <v>5</v>
      </c>
    </row>
    <row r="9" customFormat="false" ht="15" hidden="false" customHeight="false" outlineLevel="0" collapsed="false">
      <c r="A9" s="5" t="s">
        <v>6</v>
      </c>
      <c r="B9" s="5" t="s">
        <v>7</v>
      </c>
    </row>
    <row r="10" customFormat="false" ht="30" hidden="false" customHeight="true" outlineLevel="0" collapsed="false">
      <c r="A10" s="6" t="s">
        <v>8</v>
      </c>
      <c r="B10" s="4" t="s">
        <v>9</v>
      </c>
    </row>
    <row r="11" customFormat="false" ht="30" hidden="false" customHeight="true" outlineLevel="0" collapsed="false">
      <c r="A11" s="6" t="s">
        <v>10</v>
      </c>
      <c r="B11" s="4" t="s">
        <v>11</v>
      </c>
    </row>
    <row r="12" customFormat="false" ht="30" hidden="false" customHeight="true" outlineLevel="0" collapsed="false">
      <c r="A12" s="6" t="s">
        <v>12</v>
      </c>
      <c r="B12" s="4" t="s">
        <v>13</v>
      </c>
    </row>
    <row r="13" customFormat="false" ht="30" hidden="false" customHeight="true" outlineLevel="0" collapsed="false">
      <c r="A13" s="6" t="s">
        <v>14</v>
      </c>
      <c r="B13" s="4" t="s">
        <v>15</v>
      </c>
    </row>
    <row r="14" customFormat="false" ht="30" hidden="false" customHeight="true" outlineLevel="0" collapsed="false">
      <c r="A14" s="6" t="s">
        <v>16</v>
      </c>
      <c r="B14" s="4" t="s">
        <v>17</v>
      </c>
    </row>
    <row r="15" customFormat="false" ht="30" hidden="false" customHeight="true" outlineLevel="0" collapsed="false">
      <c r="A15" s="6" t="s">
        <v>18</v>
      </c>
      <c r="B15" s="4" t="s">
        <v>19</v>
      </c>
    </row>
    <row r="16" customFormat="false" ht="30" hidden="false" customHeight="true" outlineLevel="0" collapsed="false">
      <c r="A16" s="6" t="s">
        <v>20</v>
      </c>
      <c r="B16" s="4" t="s">
        <v>21</v>
      </c>
    </row>
    <row r="17" customFormat="false" ht="30" hidden="false" customHeight="true" outlineLevel="0" collapsed="false">
      <c r="A17" s="6" t="s">
        <v>22</v>
      </c>
      <c r="B17" s="4" t="s">
        <v>23</v>
      </c>
    </row>
    <row r="20" customFormat="false" ht="16.15" hidden="false" customHeight="false" outlineLevel="0" collapsed="false">
      <c r="A20" s="2" t="s">
        <v>24</v>
      </c>
    </row>
    <row r="21" customFormat="false" ht="15" hidden="false" customHeight="false" outlineLevel="0" collapsed="false">
      <c r="A21" s="5" t="s">
        <v>25</v>
      </c>
      <c r="B21" s="5" t="s">
        <v>26</v>
      </c>
    </row>
    <row r="22" customFormat="false" ht="15" hidden="false" customHeight="false" outlineLevel="0" collapsed="false">
      <c r="A22" s="7" t="s">
        <v>27</v>
      </c>
      <c r="B22" s="8" t="s">
        <v>28</v>
      </c>
    </row>
    <row r="23" customFormat="false" ht="15" hidden="false" customHeight="false" outlineLevel="0" collapsed="false">
      <c r="A23" s="8" t="s">
        <v>29</v>
      </c>
      <c r="B23" s="8" t="s">
        <v>30</v>
      </c>
    </row>
    <row r="24" customFormat="false" ht="15" hidden="false" customHeight="false" outlineLevel="0" collapsed="false">
      <c r="A24" s="9" t="s">
        <v>31</v>
      </c>
      <c r="B24" s="8" t="s">
        <v>32</v>
      </c>
    </row>
    <row r="25" customFormat="false" ht="15" hidden="false" customHeight="false" outlineLevel="0" collapsed="false">
      <c r="A25" s="10" t="s">
        <v>33</v>
      </c>
      <c r="B25" s="8" t="s">
        <v>34</v>
      </c>
    </row>
    <row r="26" customFormat="false" ht="15" hidden="false" customHeight="false" outlineLevel="0" collapsed="false">
      <c r="A26" s="11" t="s">
        <v>35</v>
      </c>
      <c r="B26" s="8" t="s">
        <v>36</v>
      </c>
    </row>
    <row r="27" customFormat="false" ht="15" hidden="false" customHeight="false" outlineLevel="0" collapsed="false">
      <c r="A27" s="12" t="s">
        <v>37</v>
      </c>
      <c r="B27" s="8" t="s">
        <v>38</v>
      </c>
    </row>
    <row r="28" customFormat="false" ht="15" hidden="false" customHeight="false" outlineLevel="0" collapsed="false">
      <c r="A28" s="13" t="s">
        <v>39</v>
      </c>
      <c r="B28" s="8" t="s">
        <v>40</v>
      </c>
    </row>
    <row r="30" customFormat="false" ht="16.15" hidden="false" customHeight="false" outlineLevel="0" collapsed="false">
      <c r="A30" s="2" t="s">
        <v>41</v>
      </c>
    </row>
    <row r="31" customFormat="false" ht="60" hidden="false" customHeight="true" outlineLevel="0" collapsed="false">
      <c r="A31" s="4" t="s">
        <v>42</v>
      </c>
    </row>
    <row r="33" customFormat="false" ht="15" hidden="false" customHeight="false" outlineLevel="0" collapsed="false">
      <c r="A33" s="6" t="s">
        <v>43</v>
      </c>
      <c r="B33" s="7" t="s">
        <v>44</v>
      </c>
    </row>
    <row r="34" customFormat="false" ht="15" hidden="false" customHeight="false" outlineLevel="0" collapsed="false">
      <c r="A34" s="6" t="s">
        <v>45</v>
      </c>
      <c r="B34" s="7" t="s">
        <v>46</v>
      </c>
    </row>
    <row r="35" customFormat="false" ht="15" hidden="false" customHeight="false" outlineLevel="0" collapsed="false">
      <c r="A35" s="6" t="s">
        <v>47</v>
      </c>
      <c r="B35" s="7"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5"/>
    <col collapsed="false" customWidth="true" hidden="false" outlineLevel="0" max="3" min="3" style="0" width="13"/>
    <col collapsed="false" customWidth="true" hidden="false" outlineLevel="0" max="5" min="4" style="0" width="22"/>
    <col collapsed="false" customWidth="true" hidden="false" outlineLevel="0" max="6" min="6" style="0" width="13"/>
    <col collapsed="false" customWidth="true" hidden="false" outlineLevel="0" max="7" min="7" style="0" width="16"/>
    <col collapsed="false" customWidth="true" hidden="false" outlineLevel="0" max="8" min="8" style="0" width="45"/>
  </cols>
  <sheetData>
    <row r="1" customFormat="false" ht="19.7" hidden="false" customHeight="false" outlineLevel="0" collapsed="false">
      <c r="A1" s="1" t="s">
        <v>49</v>
      </c>
    </row>
    <row r="2" customFormat="false" ht="30" hidden="false" customHeight="true" outlineLevel="0" collapsed="false">
      <c r="A2" s="14" t="s">
        <v>50</v>
      </c>
    </row>
    <row r="4" customFormat="false" ht="26.85" hidden="false" customHeight="false" outlineLevel="0" collapsed="false">
      <c r="A4" s="15" t="s">
        <v>51</v>
      </c>
      <c r="B4" s="15" t="s">
        <v>52</v>
      </c>
      <c r="C4" s="15" t="s">
        <v>53</v>
      </c>
      <c r="D4" s="15" t="s">
        <v>54</v>
      </c>
      <c r="E4" s="15" t="s">
        <v>55</v>
      </c>
      <c r="F4" s="15" t="s">
        <v>56</v>
      </c>
      <c r="G4" s="15" t="s">
        <v>57</v>
      </c>
      <c r="H4" s="15" t="s">
        <v>58</v>
      </c>
    </row>
    <row r="5" customFormat="false" ht="15" hidden="false" customHeight="false" outlineLevel="0" collapsed="false">
      <c r="A5" s="16" t="n">
        <v>1</v>
      </c>
      <c r="B5" s="17" t="s">
        <v>59</v>
      </c>
      <c r="C5" s="18" t="s">
        <v>60</v>
      </c>
      <c r="D5" s="17" t="s">
        <v>61</v>
      </c>
      <c r="E5" s="18" t="s">
        <v>62</v>
      </c>
      <c r="F5" s="19" t="n">
        <v>1000</v>
      </c>
      <c r="G5" s="18" t="s">
        <v>63</v>
      </c>
      <c r="H5" s="18" t="s">
        <v>64</v>
      </c>
    </row>
    <row r="6" customFormat="false" ht="15" hidden="false" customHeight="false" outlineLevel="0" collapsed="false">
      <c r="A6" s="20" t="n">
        <v>1</v>
      </c>
      <c r="B6" s="21" t="s">
        <v>59</v>
      </c>
      <c r="C6" s="22" t="s">
        <v>65</v>
      </c>
      <c r="D6" s="21" t="s">
        <v>66</v>
      </c>
      <c r="E6" s="22" t="s">
        <v>62</v>
      </c>
      <c r="F6" s="23" t="n">
        <v>1000</v>
      </c>
      <c r="G6" s="22" t="s">
        <v>63</v>
      </c>
      <c r="H6" s="22" t="s">
        <v>67</v>
      </c>
    </row>
    <row r="7" customFormat="false" ht="26.85" hidden="false" customHeight="false" outlineLevel="0" collapsed="false">
      <c r="A7" s="24" t="n">
        <v>2</v>
      </c>
      <c r="B7" s="25" t="s">
        <v>68</v>
      </c>
      <c r="C7" s="26" t="s">
        <v>69</v>
      </c>
      <c r="D7" s="25" t="s">
        <v>61</v>
      </c>
      <c r="E7" s="26" t="s">
        <v>70</v>
      </c>
      <c r="F7" s="27" t="n">
        <v>2000</v>
      </c>
      <c r="G7" s="26" t="s">
        <v>71</v>
      </c>
      <c r="H7" s="26" t="s">
        <v>64</v>
      </c>
    </row>
    <row r="8" customFormat="false" ht="26.85" hidden="false" customHeight="false" outlineLevel="0" collapsed="false">
      <c r="A8" s="20" t="n">
        <v>2</v>
      </c>
      <c r="B8" s="21" t="s">
        <v>68</v>
      </c>
      <c r="C8" s="22" t="s">
        <v>72</v>
      </c>
      <c r="D8" s="21" t="s">
        <v>66</v>
      </c>
      <c r="E8" s="22" t="s">
        <v>70</v>
      </c>
      <c r="F8" s="23" t="n">
        <v>2000</v>
      </c>
      <c r="G8" s="22" t="s">
        <v>71</v>
      </c>
      <c r="H8" s="22" t="s">
        <v>73</v>
      </c>
    </row>
    <row r="9" customFormat="false" ht="15" hidden="false" customHeight="false" outlineLevel="0" collapsed="false">
      <c r="A9" s="16" t="n">
        <v>3</v>
      </c>
      <c r="B9" s="17" t="s">
        <v>74</v>
      </c>
      <c r="C9" s="18" t="s">
        <v>75</v>
      </c>
      <c r="D9" s="17" t="s">
        <v>61</v>
      </c>
      <c r="E9" s="18" t="s">
        <v>76</v>
      </c>
      <c r="F9" s="19" t="n">
        <v>3000</v>
      </c>
      <c r="G9" s="18" t="s">
        <v>77</v>
      </c>
      <c r="H9" s="18" t="s">
        <v>64</v>
      </c>
    </row>
    <row r="10" customFormat="false" ht="15" hidden="false" customHeight="false" outlineLevel="0" collapsed="false">
      <c r="A10" s="20" t="n">
        <v>3</v>
      </c>
      <c r="B10" s="21" t="s">
        <v>74</v>
      </c>
      <c r="C10" s="22" t="s">
        <v>60</v>
      </c>
      <c r="D10" s="21" t="s">
        <v>66</v>
      </c>
      <c r="E10" s="22" t="s">
        <v>76</v>
      </c>
      <c r="F10" s="23" t="n">
        <v>1500</v>
      </c>
      <c r="G10" s="22" t="s">
        <v>77</v>
      </c>
      <c r="H10" s="22" t="s">
        <v>78</v>
      </c>
    </row>
    <row r="11" customFormat="false" ht="15" hidden="false" customHeight="false" outlineLevel="0" collapsed="false">
      <c r="A11" s="20" t="n">
        <v>3</v>
      </c>
      <c r="B11" s="21" t="s">
        <v>74</v>
      </c>
      <c r="C11" s="22" t="s">
        <v>79</v>
      </c>
      <c r="D11" s="21" t="s">
        <v>66</v>
      </c>
      <c r="E11" s="22" t="s">
        <v>76</v>
      </c>
      <c r="F11" s="23" t="n">
        <v>1500</v>
      </c>
      <c r="G11" s="22" t="s">
        <v>77</v>
      </c>
      <c r="H11" s="22" t="s">
        <v>80</v>
      </c>
    </row>
    <row r="12" customFormat="false" ht="15" hidden="false" customHeight="false" outlineLevel="0" collapsed="false">
      <c r="A12" s="24" t="n">
        <v>4</v>
      </c>
      <c r="B12" s="25" t="s">
        <v>81</v>
      </c>
      <c r="C12" s="26" t="s">
        <v>65</v>
      </c>
      <c r="D12" s="25" t="s">
        <v>61</v>
      </c>
      <c r="E12" s="26" t="s">
        <v>82</v>
      </c>
      <c r="F12" s="27" t="n">
        <v>4000</v>
      </c>
      <c r="G12" s="26" t="s">
        <v>83</v>
      </c>
      <c r="H12" s="26" t="s">
        <v>84</v>
      </c>
    </row>
    <row r="13" customFormat="false" ht="15" hidden="false" customHeight="false" outlineLevel="0" collapsed="false">
      <c r="A13" s="16" t="n">
        <v>5</v>
      </c>
      <c r="B13" s="17" t="s">
        <v>85</v>
      </c>
      <c r="C13" s="18" t="s">
        <v>86</v>
      </c>
      <c r="D13" s="17" t="s">
        <v>61</v>
      </c>
      <c r="E13" s="18" t="s">
        <v>87</v>
      </c>
      <c r="F13" s="19" t="n">
        <v>5000</v>
      </c>
      <c r="G13" s="18" t="s">
        <v>88</v>
      </c>
      <c r="H13" s="18" t="s">
        <v>89</v>
      </c>
    </row>
    <row r="14" customFormat="false" ht="15" hidden="false" customHeight="false" outlineLevel="0" collapsed="false">
      <c r="A14" s="20" t="n">
        <v>5</v>
      </c>
      <c r="B14" s="21" t="s">
        <v>85</v>
      </c>
      <c r="C14" s="22" t="s">
        <v>65</v>
      </c>
      <c r="D14" s="21" t="s">
        <v>90</v>
      </c>
      <c r="E14" s="22" t="s">
        <v>87</v>
      </c>
      <c r="F14" s="23" t="n">
        <v>-5000</v>
      </c>
      <c r="G14" s="22" t="s">
        <v>88</v>
      </c>
      <c r="H14" s="22" t="s">
        <v>91</v>
      </c>
    </row>
    <row r="15" customFormat="false" ht="15" hidden="false" customHeight="false" outlineLevel="0" collapsed="false">
      <c r="A15" s="24" t="n">
        <v>6</v>
      </c>
      <c r="B15" s="25" t="s">
        <v>92</v>
      </c>
      <c r="C15" s="26" t="s">
        <v>75</v>
      </c>
      <c r="D15" s="25" t="s">
        <v>61</v>
      </c>
      <c r="E15" s="26" t="s">
        <v>93</v>
      </c>
      <c r="F15" s="27" t="n">
        <v>6000</v>
      </c>
      <c r="G15" s="26" t="s">
        <v>94</v>
      </c>
      <c r="H15" s="26" t="s">
        <v>64</v>
      </c>
    </row>
    <row r="16" customFormat="false" ht="15" hidden="false" customHeight="false" outlineLevel="0" collapsed="false">
      <c r="A16" s="20" t="n">
        <v>6</v>
      </c>
      <c r="B16" s="21" t="s">
        <v>92</v>
      </c>
      <c r="C16" s="22" t="s">
        <v>69</v>
      </c>
      <c r="D16" s="21" t="s">
        <v>95</v>
      </c>
      <c r="E16" s="22" t="s">
        <v>93</v>
      </c>
      <c r="F16" s="23" t="n">
        <v>-1000</v>
      </c>
      <c r="G16" s="22" t="s">
        <v>94</v>
      </c>
      <c r="H16" s="22" t="s">
        <v>96</v>
      </c>
    </row>
    <row r="17" customFormat="false" ht="15" hidden="false" customHeight="false" outlineLevel="0" collapsed="false">
      <c r="A17" s="20" t="n">
        <v>6</v>
      </c>
      <c r="B17" s="21" t="s">
        <v>92</v>
      </c>
      <c r="C17" s="22" t="s">
        <v>72</v>
      </c>
      <c r="D17" s="21" t="s">
        <v>66</v>
      </c>
      <c r="E17" s="22" t="s">
        <v>93</v>
      </c>
      <c r="F17" s="23" t="n">
        <v>5000</v>
      </c>
      <c r="G17" s="22" t="s">
        <v>94</v>
      </c>
      <c r="H17" s="22" t="s">
        <v>97</v>
      </c>
    </row>
    <row r="18" customFormat="false" ht="15" hidden="false" customHeight="false" outlineLevel="0" collapsed="false">
      <c r="A18" s="16" t="n">
        <v>7</v>
      </c>
      <c r="B18" s="17" t="s">
        <v>98</v>
      </c>
      <c r="C18" s="18" t="s">
        <v>99</v>
      </c>
      <c r="D18" s="17" t="s">
        <v>100</v>
      </c>
      <c r="E18" s="18" t="s">
        <v>101</v>
      </c>
      <c r="F18" s="19" t="n">
        <v>500</v>
      </c>
      <c r="G18" s="18" t="s">
        <v>102</v>
      </c>
      <c r="H18" s="18" t="s">
        <v>103</v>
      </c>
    </row>
    <row r="19" customFormat="false" ht="15" hidden="false" customHeight="false" outlineLevel="0" collapsed="false">
      <c r="A19" s="20" t="n">
        <v>7</v>
      </c>
      <c r="B19" s="21" t="s">
        <v>98</v>
      </c>
      <c r="C19" s="22" t="s">
        <v>104</v>
      </c>
      <c r="D19" s="21" t="s">
        <v>105</v>
      </c>
      <c r="E19" s="22" t="s">
        <v>101</v>
      </c>
      <c r="F19" s="23" t="n">
        <v>500</v>
      </c>
      <c r="G19" s="22" t="s">
        <v>102</v>
      </c>
      <c r="H19" s="22" t="s">
        <v>106</v>
      </c>
    </row>
    <row r="20" customFormat="false" ht="26.85" hidden="false" customHeight="false" outlineLevel="0" collapsed="false">
      <c r="A20" s="28" t="n">
        <v>8</v>
      </c>
      <c r="B20" s="29" t="s">
        <v>107</v>
      </c>
      <c r="C20" s="30" t="s">
        <v>86</v>
      </c>
      <c r="D20" s="29" t="s">
        <v>61</v>
      </c>
      <c r="E20" s="30" t="s">
        <v>108</v>
      </c>
      <c r="F20" s="31" t="n">
        <v>10000</v>
      </c>
      <c r="G20" s="30" t="s">
        <v>109</v>
      </c>
      <c r="H20" s="30" t="s">
        <v>64</v>
      </c>
    </row>
    <row r="21" customFormat="false" ht="26.85" hidden="false" customHeight="false" outlineLevel="0" collapsed="false">
      <c r="A21" s="28" t="n">
        <v>8</v>
      </c>
      <c r="B21" s="29" t="s">
        <v>107</v>
      </c>
      <c r="C21" s="30" t="s">
        <v>110</v>
      </c>
      <c r="D21" s="29" t="s">
        <v>111</v>
      </c>
      <c r="E21" s="30" t="s">
        <v>108</v>
      </c>
      <c r="F21" s="31" t="n">
        <v>8000</v>
      </c>
      <c r="G21" s="30" t="s">
        <v>109</v>
      </c>
      <c r="H21" s="30" t="s">
        <v>112</v>
      </c>
    </row>
    <row r="22" customFormat="false" ht="26.85" hidden="false" customHeight="false" outlineLevel="0" collapsed="false">
      <c r="A22" s="28" t="n">
        <v>8</v>
      </c>
      <c r="B22" s="29" t="s">
        <v>107</v>
      </c>
      <c r="C22" s="30" t="s">
        <v>113</v>
      </c>
      <c r="D22" s="29" t="s">
        <v>114</v>
      </c>
      <c r="E22" s="30" t="s">
        <v>108</v>
      </c>
      <c r="F22" s="31" t="n">
        <v>1800</v>
      </c>
      <c r="G22" s="30" t="s">
        <v>109</v>
      </c>
      <c r="H22" s="30"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5"/>
    <col collapsed="false" customWidth="true" hidden="false" outlineLevel="0" max="6" min="3" style="0" width="17"/>
    <col collapsed="false" customWidth="true" hidden="false" outlineLevel="0" max="8" min="7" style="0" width="18"/>
    <col collapsed="false" customWidth="true" hidden="false" outlineLevel="0" max="9" min="9" style="0" width="50"/>
  </cols>
  <sheetData>
    <row r="1" customFormat="false" ht="19.7" hidden="false" customHeight="false" outlineLevel="0" collapsed="false">
      <c r="A1" s="1" t="s">
        <v>116</v>
      </c>
    </row>
    <row r="2" customFormat="false" ht="15" hidden="false" customHeight="false" outlineLevel="0" collapsed="false">
      <c r="A2" s="3" t="s">
        <v>117</v>
      </c>
    </row>
    <row r="4" customFormat="false" ht="45" hidden="false" customHeight="true" outlineLevel="0" collapsed="false">
      <c r="A4" s="15" t="s">
        <v>118</v>
      </c>
      <c r="B4" s="15" t="s">
        <v>52</v>
      </c>
      <c r="C4" s="15" t="s">
        <v>119</v>
      </c>
      <c r="D4" s="15" t="s">
        <v>120</v>
      </c>
      <c r="E4" s="15" t="s">
        <v>121</v>
      </c>
      <c r="F4" s="15" t="s">
        <v>122</v>
      </c>
      <c r="G4" s="15" t="s">
        <v>123</v>
      </c>
      <c r="H4" s="15" t="s">
        <v>124</v>
      </c>
      <c r="I4" s="15" t="s">
        <v>125</v>
      </c>
    </row>
    <row r="5" customFormat="false" ht="15" hidden="false" customHeight="false" outlineLevel="0" collapsed="false">
      <c r="A5" s="20" t="n">
        <v>1</v>
      </c>
      <c r="B5" s="21" t="s">
        <v>59</v>
      </c>
      <c r="C5" s="23" t="n">
        <v>1000</v>
      </c>
      <c r="D5" s="23" t="n">
        <v>1000</v>
      </c>
      <c r="E5" s="23" t="n">
        <v>0</v>
      </c>
      <c r="F5" s="23" t="n">
        <v>0</v>
      </c>
      <c r="G5" s="32" t="n">
        <f aca="false">C5-E5</f>
        <v>1000</v>
      </c>
      <c r="H5" s="32" t="n">
        <f aca="false">D5-F5</f>
        <v>1000</v>
      </c>
    </row>
    <row r="6" customFormat="false" ht="26.85" hidden="false" customHeight="false" outlineLevel="0" collapsed="false">
      <c r="A6" s="20" t="n">
        <v>2</v>
      </c>
      <c r="B6" s="21" t="s">
        <v>68</v>
      </c>
      <c r="C6" s="23" t="n">
        <v>2000</v>
      </c>
      <c r="D6" s="23" t="n">
        <v>0</v>
      </c>
      <c r="E6" s="23" t="n">
        <v>0</v>
      </c>
      <c r="F6" s="23" t="n">
        <v>0</v>
      </c>
      <c r="G6" s="32" t="n">
        <f aca="false">C6-E6</f>
        <v>2000</v>
      </c>
      <c r="H6" s="32" t="n">
        <f aca="false">D6-F6</f>
        <v>0</v>
      </c>
    </row>
    <row r="7" customFormat="false" ht="15" hidden="false" customHeight="false" outlineLevel="0" collapsed="false">
      <c r="A7" s="20" t="n">
        <v>3</v>
      </c>
      <c r="B7" s="21" t="s">
        <v>74</v>
      </c>
      <c r="C7" s="23" t="n">
        <v>3000</v>
      </c>
      <c r="D7" s="23" t="n">
        <v>1500</v>
      </c>
      <c r="E7" s="23" t="n">
        <v>0</v>
      </c>
      <c r="F7" s="23" t="n">
        <v>0</v>
      </c>
      <c r="G7" s="32" t="n">
        <f aca="false">C7-E7</f>
        <v>3000</v>
      </c>
      <c r="H7" s="32" t="n">
        <f aca="false">D7-F7</f>
        <v>1500</v>
      </c>
    </row>
    <row r="8" customFormat="false" ht="15" hidden="false" customHeight="false" outlineLevel="0" collapsed="false">
      <c r="A8" s="20" t="n">
        <v>4</v>
      </c>
      <c r="B8" s="21" t="s">
        <v>81</v>
      </c>
      <c r="C8" s="23" t="n">
        <v>4000</v>
      </c>
      <c r="D8" s="23" t="n">
        <v>0</v>
      </c>
      <c r="E8" s="23" t="n">
        <v>0</v>
      </c>
      <c r="F8" s="23" t="n">
        <v>0</v>
      </c>
      <c r="G8" s="32" t="n">
        <f aca="false">C8-E8</f>
        <v>4000</v>
      </c>
      <c r="H8" s="32" t="n">
        <f aca="false">D8-F8</f>
        <v>0</v>
      </c>
    </row>
    <row r="9" customFormat="false" ht="15" hidden="false" customHeight="false" outlineLevel="0" collapsed="false">
      <c r="A9" s="20" t="n">
        <v>5</v>
      </c>
      <c r="B9" s="21" t="s">
        <v>85</v>
      </c>
      <c r="C9" s="23" t="n">
        <v>0</v>
      </c>
      <c r="D9" s="23" t="n">
        <v>0</v>
      </c>
      <c r="E9" s="23" t="n">
        <v>0</v>
      </c>
      <c r="F9" s="23" t="n">
        <v>0</v>
      </c>
      <c r="G9" s="32" t="n">
        <f aca="false">C9-E9</f>
        <v>0</v>
      </c>
      <c r="H9" s="32" t="n">
        <f aca="false">D9-F9</f>
        <v>0</v>
      </c>
    </row>
    <row r="10" customFormat="false" ht="15" hidden="false" customHeight="false" outlineLevel="0" collapsed="false">
      <c r="A10" s="20" t="n">
        <v>6</v>
      </c>
      <c r="B10" s="21" t="s">
        <v>92</v>
      </c>
      <c r="C10" s="23" t="n">
        <v>5000</v>
      </c>
      <c r="D10" s="23" t="n">
        <v>0</v>
      </c>
      <c r="E10" s="23" t="n">
        <v>0</v>
      </c>
      <c r="F10" s="23" t="n">
        <v>0</v>
      </c>
      <c r="G10" s="32" t="n">
        <f aca="false">C10-E10</f>
        <v>5000</v>
      </c>
      <c r="H10" s="32" t="n">
        <f aca="false">D10-F10</f>
        <v>0</v>
      </c>
    </row>
    <row r="11" customFormat="false" ht="15" hidden="false" customHeight="false" outlineLevel="0" collapsed="false">
      <c r="A11" s="20" t="n">
        <v>7</v>
      </c>
      <c r="B11" s="21" t="s">
        <v>98</v>
      </c>
      <c r="C11" s="23" t="n">
        <v>0</v>
      </c>
      <c r="D11" s="23" t="n">
        <v>0</v>
      </c>
      <c r="E11" s="23" t="n">
        <v>500</v>
      </c>
      <c r="F11" s="23" t="n">
        <v>0</v>
      </c>
      <c r="G11" s="32" t="n">
        <f aca="false">C11-E11</f>
        <v>-500</v>
      </c>
      <c r="H11" s="32" t="n">
        <f aca="false">D11-F11</f>
        <v>0</v>
      </c>
    </row>
    <row r="12" customFormat="false" ht="15" hidden="false" customHeight="false" outlineLevel="0" collapsed="false">
      <c r="A12" s="20" t="n">
        <v>8</v>
      </c>
      <c r="B12" s="21" t="s">
        <v>126</v>
      </c>
      <c r="C12" s="23" t="n">
        <v>10000</v>
      </c>
      <c r="D12" s="33" t="s">
        <v>127</v>
      </c>
      <c r="E12" s="23" t="n">
        <v>0</v>
      </c>
      <c r="F12" s="33" t="s">
        <v>127</v>
      </c>
      <c r="G12" s="32" t="n">
        <f aca="false">C12-E12</f>
        <v>10000</v>
      </c>
      <c r="H12" s="33" t="s">
        <v>127</v>
      </c>
    </row>
    <row r="13" customFormat="false" ht="15" hidden="false" customHeight="false" outlineLevel="0" collapsed="false">
      <c r="A13" s="5" t="s">
        <v>128</v>
      </c>
      <c r="B13" s="5" t="s">
        <v>129</v>
      </c>
      <c r="C13" s="34" t="n">
        <f aca="false">SUM(C5:C11)</f>
        <v>15000</v>
      </c>
      <c r="D13" s="34" t="n">
        <f aca="false">SUM(D5:D11)</f>
        <v>2500</v>
      </c>
      <c r="E13" s="34" t="n">
        <f aca="false">SUM(E5:E11)</f>
        <v>500</v>
      </c>
      <c r="F13" s="34" t="n">
        <f aca="false">SUM(F5:F11)</f>
        <v>0</v>
      </c>
      <c r="G13" s="34" t="n">
        <f aca="false">SUM(G5:G11)</f>
        <v>14500</v>
      </c>
      <c r="H13" s="34" t="n">
        <f aca="false">SUM(H5:H11)</f>
        <v>2500</v>
      </c>
    </row>
    <row r="16" customFormat="false" ht="16.15" hidden="false" customHeight="false" outlineLevel="0" collapsed="false">
      <c r="A16" s="2" t="s">
        <v>130</v>
      </c>
    </row>
    <row r="17" customFormat="false" ht="15" hidden="false" customHeight="true" outlineLevel="0" collapsed="false">
      <c r="A17" s="35" t="s">
        <v>131</v>
      </c>
      <c r="B17" s="35"/>
      <c r="C17" s="35"/>
      <c r="D17" s="35"/>
      <c r="E17" s="35"/>
      <c r="F17" s="35"/>
      <c r="G17" s="35"/>
      <c r="H17" s="35"/>
      <c r="I17" s="35"/>
    </row>
    <row r="18" customFormat="false" ht="15" hidden="false" customHeight="true" outlineLevel="0" collapsed="false">
      <c r="A18" s="35" t="s">
        <v>132</v>
      </c>
      <c r="B18" s="35"/>
      <c r="C18" s="35"/>
      <c r="D18" s="35"/>
      <c r="E18" s="35"/>
      <c r="F18" s="35"/>
      <c r="G18" s="35"/>
      <c r="H18" s="35"/>
      <c r="I18" s="35"/>
    </row>
    <row r="19" customFormat="false" ht="15" hidden="false" customHeight="true" outlineLevel="0" collapsed="false">
      <c r="A19" s="35" t="s">
        <v>133</v>
      </c>
      <c r="B19" s="35"/>
      <c r="C19" s="35"/>
      <c r="D19" s="35"/>
      <c r="E19" s="35"/>
      <c r="F19" s="35"/>
      <c r="G19" s="35"/>
      <c r="H19" s="35"/>
      <c r="I19" s="35"/>
    </row>
    <row r="20" customFormat="false" ht="15" hidden="false" customHeight="true" outlineLevel="0" collapsed="false">
      <c r="A20" s="35" t="s">
        <v>134</v>
      </c>
      <c r="B20" s="35"/>
      <c r="C20" s="35"/>
      <c r="D20" s="35"/>
      <c r="E20" s="35"/>
      <c r="F20" s="35"/>
      <c r="G20" s="35"/>
      <c r="H20" s="35"/>
      <c r="I20" s="35"/>
    </row>
  </sheetData>
  <mergeCells count="4">
    <mergeCell ref="A17:I17"/>
    <mergeCell ref="A18:I18"/>
    <mergeCell ref="A19:I19"/>
    <mergeCell ref="A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8"/>
    <col collapsed="false" customWidth="true" hidden="false" outlineLevel="0" max="4" min="4" style="0" width="15"/>
    <col collapsed="false" customWidth="true" hidden="false" outlineLevel="0" max="5" min="5" style="0" width="80"/>
  </cols>
  <sheetData>
    <row r="1" customFormat="false" ht="19.7" hidden="false" customHeight="false" outlineLevel="0" collapsed="false">
      <c r="A1" s="1" t="s">
        <v>135</v>
      </c>
    </row>
    <row r="2" customFormat="false" ht="15" hidden="false" customHeight="false" outlineLevel="0" collapsed="false">
      <c r="A2" s="3" t="s">
        <v>136</v>
      </c>
    </row>
    <row r="4" customFormat="false" ht="15" hidden="false" customHeight="false" outlineLevel="0" collapsed="false">
      <c r="A4" s="15" t="s">
        <v>137</v>
      </c>
      <c r="B4" s="15" t="s">
        <v>138</v>
      </c>
      <c r="C4" s="15" t="s">
        <v>139</v>
      </c>
      <c r="D4" s="15" t="s">
        <v>140</v>
      </c>
      <c r="E4" s="15" t="s">
        <v>141</v>
      </c>
    </row>
    <row r="5" customFormat="false" ht="15" hidden="false" customHeight="false" outlineLevel="0" collapsed="false">
      <c r="A5" s="36" t="s">
        <v>142</v>
      </c>
      <c r="B5" s="37"/>
      <c r="C5" s="37"/>
      <c r="D5" s="37"/>
      <c r="E5" s="37"/>
    </row>
    <row r="6" customFormat="false" ht="26.85" hidden="false" customHeight="false" outlineLevel="0" collapsed="false">
      <c r="A6" s="38" t="s">
        <v>143</v>
      </c>
      <c r="B6" s="23" t="n">
        <v>52500</v>
      </c>
      <c r="C6" s="23" t="n">
        <v>52500</v>
      </c>
      <c r="D6" s="39" t="n">
        <f aca="false">B6-C6</f>
        <v>0</v>
      </c>
      <c r="E6" s="40" t="s">
        <v>144</v>
      </c>
    </row>
    <row r="7" customFormat="false" ht="39.55" hidden="false" customHeight="false" outlineLevel="0" collapsed="false">
      <c r="A7" s="38" t="s">
        <v>145</v>
      </c>
      <c r="B7" s="23" t="n">
        <v>13000</v>
      </c>
      <c r="C7" s="23" t="n">
        <v>0</v>
      </c>
      <c r="D7" s="39" t="n">
        <f aca="false">B7-C7</f>
        <v>13000</v>
      </c>
      <c r="E7" s="40" t="s">
        <v>146</v>
      </c>
    </row>
    <row r="8" customFormat="false" ht="15" hidden="false" customHeight="false" outlineLevel="0" collapsed="false">
      <c r="A8" s="41" t="s">
        <v>147</v>
      </c>
      <c r="B8" s="32" t="n">
        <f aca="false">SUM(B6:B7)</f>
        <v>65500</v>
      </c>
      <c r="C8" s="32" t="n">
        <f aca="false">SUM(C6:C7)</f>
        <v>52500</v>
      </c>
      <c r="D8" s="39" t="n">
        <f aca="false">B8-C8</f>
        <v>13000</v>
      </c>
      <c r="E8" s="40" t="s">
        <v>148</v>
      </c>
    </row>
    <row r="9" customFormat="false" ht="15" hidden="false" customHeight="false" outlineLevel="0" collapsed="false">
      <c r="A9" s="42"/>
    </row>
    <row r="10" customFormat="false" ht="15" hidden="false" customHeight="false" outlineLevel="0" collapsed="false">
      <c r="A10" s="36" t="s">
        <v>149</v>
      </c>
      <c r="B10" s="37"/>
      <c r="C10" s="37"/>
      <c r="D10" s="37"/>
      <c r="E10" s="37"/>
    </row>
    <row r="11" customFormat="false" ht="15" hidden="false" customHeight="false" outlineLevel="0" collapsed="false">
      <c r="A11" s="38" t="s">
        <v>150</v>
      </c>
      <c r="B11" s="23" t="n">
        <v>500</v>
      </c>
      <c r="C11" s="23" t="n">
        <v>0</v>
      </c>
      <c r="D11" s="39" t="n">
        <f aca="false">B11-C11</f>
        <v>500</v>
      </c>
      <c r="E11" s="40" t="s">
        <v>151</v>
      </c>
    </row>
    <row r="12" customFormat="false" ht="15" hidden="false" customHeight="false" outlineLevel="0" collapsed="false">
      <c r="A12" s="41" t="s">
        <v>152</v>
      </c>
      <c r="B12" s="32" t="n">
        <f aca="false">B11</f>
        <v>500</v>
      </c>
      <c r="C12" s="32" t="n">
        <f aca="false">C11</f>
        <v>0</v>
      </c>
      <c r="D12" s="39" t="n">
        <f aca="false">B12-C12</f>
        <v>500</v>
      </c>
      <c r="E12" s="40" t="s">
        <v>148</v>
      </c>
    </row>
    <row r="13" customFormat="false" ht="15" hidden="false" customHeight="false" outlineLevel="0" collapsed="false">
      <c r="A13" s="42"/>
    </row>
    <row r="14" customFormat="false" ht="15" hidden="false" customHeight="false" outlineLevel="0" collapsed="false">
      <c r="A14" s="36" t="s">
        <v>153</v>
      </c>
      <c r="B14" s="37"/>
      <c r="C14" s="37"/>
      <c r="D14" s="37"/>
      <c r="E14" s="37"/>
    </row>
    <row r="15" customFormat="false" ht="15" hidden="false" customHeight="false" outlineLevel="0" collapsed="false">
      <c r="A15" s="38" t="s">
        <v>154</v>
      </c>
      <c r="B15" s="23" t="n">
        <v>50000</v>
      </c>
      <c r="C15" s="23" t="n">
        <v>50000</v>
      </c>
      <c r="D15" s="39" t="n">
        <f aca="false">B15-C15</f>
        <v>0</v>
      </c>
      <c r="E15" s="40" t="s">
        <v>155</v>
      </c>
    </row>
    <row r="16" customFormat="false" ht="15" hidden="false" customHeight="false" outlineLevel="0" collapsed="false">
      <c r="A16" s="38" t="s">
        <v>156</v>
      </c>
      <c r="B16" s="23" t="n">
        <v>15000</v>
      </c>
      <c r="C16" s="23" t="n">
        <v>2500</v>
      </c>
      <c r="D16" s="39" t="n">
        <f aca="false">B16-C16</f>
        <v>12500</v>
      </c>
      <c r="E16" s="40" t="s">
        <v>157</v>
      </c>
    </row>
    <row r="17" customFormat="false" ht="15" hidden="false" customHeight="false" outlineLevel="0" collapsed="false">
      <c r="A17" s="41" t="s">
        <v>158</v>
      </c>
      <c r="B17" s="32" t="n">
        <f aca="false">SUM(B15:B16)</f>
        <v>65000</v>
      </c>
      <c r="C17" s="32" t="n">
        <f aca="false">SUM(C15:C16)</f>
        <v>52500</v>
      </c>
      <c r="D17" s="39" t="n">
        <f aca="false">B17-C17</f>
        <v>12500</v>
      </c>
      <c r="E17" s="40" t="s">
        <v>148</v>
      </c>
    </row>
    <row r="18" customFormat="false" ht="15" hidden="false" customHeight="false" outlineLevel="0" collapsed="false">
      <c r="A18" s="42"/>
    </row>
    <row r="19" customFormat="false" ht="15" hidden="false" customHeight="false" outlineLevel="0" collapsed="false">
      <c r="A19" s="41" t="s">
        <v>159</v>
      </c>
      <c r="B19" s="32" t="n">
        <f aca="false">B12+B17</f>
        <v>65500</v>
      </c>
      <c r="C19" s="32" t="n">
        <f aca="false">C12+C17</f>
        <v>52500</v>
      </c>
      <c r="D19" s="39" t="n">
        <f aca="false">B19-C19</f>
        <v>13000</v>
      </c>
      <c r="E19" s="40" t="s">
        <v>160</v>
      </c>
    </row>
    <row r="20" customFormat="false" ht="15" hidden="false" customHeight="false" outlineLevel="0" collapsed="false">
      <c r="A20" s="42"/>
    </row>
    <row r="21" customFormat="false" ht="15" hidden="false" customHeight="false" outlineLevel="0" collapsed="false">
      <c r="A21" s="42" t="s">
        <v>161</v>
      </c>
      <c r="B21" s="43" t="n">
        <f aca="false">B8-B19</f>
        <v>0</v>
      </c>
      <c r="C21" s="43" t="n">
        <f aca="false">C8-C19</f>
        <v>0</v>
      </c>
      <c r="E21" s="40"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8"/>
    <col collapsed="false" customWidth="true" hidden="false" outlineLevel="0" max="4" min="4" style="0" width="60"/>
  </cols>
  <sheetData>
    <row r="1" customFormat="false" ht="19.7" hidden="false" customHeight="false" outlineLevel="0" collapsed="false">
      <c r="A1" s="1" t="s">
        <v>163</v>
      </c>
    </row>
    <row r="2" customFormat="false" ht="15" hidden="false" customHeight="false" outlineLevel="0" collapsed="false">
      <c r="A2" s="3" t="s">
        <v>164</v>
      </c>
    </row>
    <row r="4" customFormat="false" ht="15" hidden="false" customHeight="false" outlineLevel="0" collapsed="false">
      <c r="A4" s="15" t="s">
        <v>165</v>
      </c>
      <c r="B4" s="15" t="s">
        <v>138</v>
      </c>
      <c r="C4" s="15" t="s">
        <v>139</v>
      </c>
      <c r="D4" s="15" t="s">
        <v>58</v>
      </c>
    </row>
    <row r="5" customFormat="false" ht="15" hidden="false" customHeight="false" outlineLevel="0" collapsed="false">
      <c r="A5" s="36" t="s">
        <v>166</v>
      </c>
      <c r="B5" s="37"/>
      <c r="C5" s="37"/>
      <c r="D5" s="37"/>
    </row>
    <row r="6" customFormat="false" ht="15" hidden="false" customHeight="false" outlineLevel="0" collapsed="false">
      <c r="A6" s="42" t="s">
        <v>167</v>
      </c>
      <c r="B6" s="23" t="n">
        <v>15000</v>
      </c>
      <c r="C6" s="23" t="n">
        <v>2500</v>
      </c>
      <c r="D6" s="40" t="s">
        <v>168</v>
      </c>
    </row>
    <row r="7" customFormat="false" ht="26.85" hidden="false" customHeight="false" outlineLevel="0" collapsed="false">
      <c r="A7" s="42" t="s">
        <v>169</v>
      </c>
      <c r="B7" s="23" t="n">
        <v>-13000</v>
      </c>
      <c r="D7" s="40" t="s">
        <v>170</v>
      </c>
    </row>
    <row r="8" customFormat="false" ht="15" hidden="false" customHeight="false" outlineLevel="0" collapsed="false">
      <c r="A8" s="42" t="s">
        <v>171</v>
      </c>
      <c r="B8" s="23" t="n">
        <v>500</v>
      </c>
      <c r="D8" s="40" t="s">
        <v>172</v>
      </c>
    </row>
    <row r="9" customFormat="false" ht="15" hidden="false" customHeight="false" outlineLevel="0" collapsed="false">
      <c r="A9" s="41" t="s">
        <v>173</v>
      </c>
      <c r="B9" s="43" t="n">
        <f aca="false">B6+B7+B8</f>
        <v>2500</v>
      </c>
      <c r="C9" s="43" t="n">
        <f aca="false">C6</f>
        <v>2500</v>
      </c>
      <c r="D9" s="40" t="s">
        <v>148</v>
      </c>
    </row>
    <row r="10" customFormat="false" ht="15" hidden="false" customHeight="false" outlineLevel="0" collapsed="false">
      <c r="A10" s="42"/>
    </row>
    <row r="11" customFormat="false" ht="15" hidden="false" customHeight="false" outlineLevel="0" collapsed="false">
      <c r="A11" s="36" t="s">
        <v>174</v>
      </c>
      <c r="B11" s="37"/>
      <c r="C11" s="37"/>
      <c r="D11" s="37"/>
    </row>
    <row r="12" customFormat="false" ht="26.85" hidden="false" customHeight="false" outlineLevel="0" collapsed="false">
      <c r="A12" s="42" t="s">
        <v>175</v>
      </c>
      <c r="B12" s="23" t="n">
        <v>0</v>
      </c>
      <c r="C12" s="23" t="n">
        <v>0</v>
      </c>
      <c r="D12" s="40" t="s">
        <v>176</v>
      </c>
    </row>
    <row r="13" customFormat="false" ht="15" hidden="false" customHeight="false" outlineLevel="0" collapsed="false">
      <c r="A13" s="41" t="s">
        <v>177</v>
      </c>
      <c r="B13" s="43" t="n">
        <f aca="false">B12</f>
        <v>0</v>
      </c>
      <c r="C13" s="43" t="n">
        <f aca="false">C12</f>
        <v>0</v>
      </c>
      <c r="D13" s="40" t="s">
        <v>148</v>
      </c>
    </row>
    <row r="14" customFormat="false" ht="15" hidden="false" customHeight="false" outlineLevel="0" collapsed="false">
      <c r="A14" s="42"/>
    </row>
    <row r="15" customFormat="false" ht="15" hidden="false" customHeight="false" outlineLevel="0" collapsed="false">
      <c r="A15" s="36" t="s">
        <v>178</v>
      </c>
      <c r="B15" s="37"/>
      <c r="C15" s="37"/>
      <c r="D15" s="37"/>
    </row>
    <row r="16" customFormat="false" ht="15" hidden="false" customHeight="false" outlineLevel="0" collapsed="false">
      <c r="A16" s="42" t="s">
        <v>179</v>
      </c>
      <c r="B16" s="23" t="n">
        <v>0</v>
      </c>
      <c r="C16" s="23" t="n">
        <v>0</v>
      </c>
      <c r="D16" s="40" t="s">
        <v>180</v>
      </c>
    </row>
    <row r="17" customFormat="false" ht="15" hidden="false" customHeight="false" outlineLevel="0" collapsed="false">
      <c r="A17" s="41" t="s">
        <v>181</v>
      </c>
      <c r="B17" s="43" t="n">
        <f aca="false">B16</f>
        <v>0</v>
      </c>
      <c r="C17" s="43" t="n">
        <f aca="false">C16</f>
        <v>0</v>
      </c>
      <c r="D17" s="40" t="s">
        <v>148</v>
      </c>
    </row>
    <row r="18" customFormat="false" ht="15" hidden="false" customHeight="false" outlineLevel="0" collapsed="false">
      <c r="A18" s="42"/>
    </row>
    <row r="19" customFormat="false" ht="26.85" hidden="false" customHeight="false" outlineLevel="0" collapsed="false">
      <c r="A19" s="41" t="s">
        <v>182</v>
      </c>
      <c r="B19" s="43" t="n">
        <f aca="false">B9+B13+B17</f>
        <v>2500</v>
      </c>
      <c r="C19" s="43" t="n">
        <f aca="false">C9+C13+C17</f>
        <v>2500</v>
      </c>
      <c r="D19" s="40" t="s">
        <v>183</v>
      </c>
    </row>
    <row r="20" customFormat="false" ht="15" hidden="false" customHeight="false" outlineLevel="0" collapsed="false">
      <c r="A20" s="42" t="s">
        <v>184</v>
      </c>
      <c r="B20" s="23" t="n">
        <v>50000</v>
      </c>
      <c r="C20" s="23" t="n">
        <v>50000</v>
      </c>
      <c r="D20" s="40" t="s">
        <v>180</v>
      </c>
    </row>
    <row r="21" customFormat="false" ht="15" hidden="false" customHeight="false" outlineLevel="0" collapsed="false">
      <c r="A21" s="41" t="s">
        <v>185</v>
      </c>
      <c r="B21" s="43" t="n">
        <f aca="false">B19+B20</f>
        <v>52500</v>
      </c>
      <c r="C21" s="43" t="n">
        <f aca="false">C19+C20</f>
        <v>52500</v>
      </c>
      <c r="D21" s="40" t="s">
        <v>186</v>
      </c>
    </row>
    <row r="24" customFormat="false" ht="16.15" hidden="false" customHeight="false" outlineLevel="0" collapsed="false">
      <c r="A24" s="2" t="s">
        <v>187</v>
      </c>
    </row>
    <row r="25" customFormat="false" ht="60" hidden="false" customHeight="true" outlineLevel="0" collapsed="false">
      <c r="A25" s="44" t="s">
        <v>188</v>
      </c>
      <c r="B25" s="44"/>
      <c r="C25" s="44"/>
      <c r="D25" s="44"/>
    </row>
  </sheetData>
  <mergeCells count="1">
    <mergeCell ref="A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7" min="3" style="0" width="14"/>
    <col collapsed="false" customWidth="true" hidden="false" outlineLevel="0" max="8" min="8" style="0" width="55"/>
  </cols>
  <sheetData>
    <row r="1" customFormat="false" ht="19.7" hidden="false" customHeight="false" outlineLevel="0" collapsed="false">
      <c r="A1" s="1" t="s">
        <v>189</v>
      </c>
    </row>
    <row r="2" customFormat="false" ht="15" hidden="false" customHeight="false" outlineLevel="0" collapsed="false">
      <c r="A2" s="3" t="s">
        <v>190</v>
      </c>
    </row>
    <row r="4" customFormat="false" ht="26.85" hidden="false" customHeight="false" outlineLevel="0" collapsed="false">
      <c r="A4" s="15" t="s">
        <v>191</v>
      </c>
      <c r="B4" s="15" t="s">
        <v>192</v>
      </c>
      <c r="C4" s="15" t="s">
        <v>193</v>
      </c>
      <c r="D4" s="15" t="s">
        <v>194</v>
      </c>
      <c r="E4" s="15" t="s">
        <v>195</v>
      </c>
      <c r="F4" s="15" t="s">
        <v>196</v>
      </c>
      <c r="G4" s="15" t="s">
        <v>197</v>
      </c>
      <c r="H4" s="15" t="s">
        <v>58</v>
      </c>
    </row>
    <row r="5" customFormat="false" ht="15" hidden="false" customHeight="false" outlineLevel="0" collapsed="false">
      <c r="A5" s="42" t="s">
        <v>198</v>
      </c>
      <c r="B5" s="42" t="s">
        <v>199</v>
      </c>
      <c r="C5" s="42" t="s">
        <v>200</v>
      </c>
      <c r="D5" s="23" t="n">
        <v>52500</v>
      </c>
      <c r="E5" s="23" t="n">
        <v>0</v>
      </c>
      <c r="F5" s="23" t="n">
        <v>52500</v>
      </c>
      <c r="G5" s="23" t="n">
        <v>0</v>
      </c>
      <c r="H5" s="40" t="s">
        <v>180</v>
      </c>
    </row>
    <row r="6" customFormat="false" ht="26.85" hidden="false" customHeight="false" outlineLevel="0" collapsed="false">
      <c r="A6" s="42" t="s">
        <v>201</v>
      </c>
      <c r="B6" s="42" t="s">
        <v>145</v>
      </c>
      <c r="C6" s="42" t="s">
        <v>200</v>
      </c>
      <c r="D6" s="23" t="n">
        <v>13000</v>
      </c>
      <c r="E6" s="23" t="n">
        <v>0</v>
      </c>
      <c r="F6" s="23" t="n">
        <v>0</v>
      </c>
      <c r="G6" s="23" t="n">
        <v>0</v>
      </c>
      <c r="H6" s="40" t="s">
        <v>202</v>
      </c>
    </row>
    <row r="7" customFormat="false" ht="15" hidden="false" customHeight="false" outlineLevel="0" collapsed="false">
      <c r="A7" s="42" t="s">
        <v>203</v>
      </c>
      <c r="B7" s="42" t="s">
        <v>204</v>
      </c>
      <c r="C7" s="42" t="s">
        <v>200</v>
      </c>
      <c r="D7" s="23" t="n">
        <v>0</v>
      </c>
      <c r="E7" s="23" t="n">
        <v>0</v>
      </c>
      <c r="F7" s="23" t="n">
        <v>0</v>
      </c>
      <c r="G7" s="23" t="n">
        <v>0</v>
      </c>
      <c r="H7" s="40" t="s">
        <v>205</v>
      </c>
    </row>
    <row r="8" customFormat="false" ht="15" hidden="false" customHeight="false" outlineLevel="0" collapsed="false">
      <c r="A8" s="42" t="s">
        <v>206</v>
      </c>
      <c r="B8" s="42" t="s">
        <v>150</v>
      </c>
      <c r="C8" s="42" t="s">
        <v>207</v>
      </c>
      <c r="D8" s="23" t="n">
        <v>0</v>
      </c>
      <c r="E8" s="23" t="n">
        <v>500</v>
      </c>
      <c r="F8" s="23" t="n">
        <v>0</v>
      </c>
      <c r="G8" s="23" t="n">
        <v>0</v>
      </c>
      <c r="H8" s="40" t="s">
        <v>208</v>
      </c>
    </row>
    <row r="9" customFormat="false" ht="15" hidden="false" customHeight="false" outlineLevel="0" collapsed="false">
      <c r="A9" s="42" t="s">
        <v>209</v>
      </c>
      <c r="B9" s="42" t="s">
        <v>210</v>
      </c>
      <c r="C9" s="42" t="s">
        <v>211</v>
      </c>
      <c r="D9" s="23" t="n">
        <v>0</v>
      </c>
      <c r="E9" s="23" t="n">
        <v>50000</v>
      </c>
      <c r="F9" s="23" t="n">
        <v>0</v>
      </c>
      <c r="G9" s="23" t="n">
        <v>50000</v>
      </c>
      <c r="H9" s="40" t="s">
        <v>180</v>
      </c>
    </row>
    <row r="10" customFormat="false" ht="26.85" hidden="false" customHeight="false" outlineLevel="0" collapsed="false">
      <c r="A10" s="42" t="s">
        <v>212</v>
      </c>
      <c r="B10" s="42" t="s">
        <v>156</v>
      </c>
      <c r="C10" s="42" t="s">
        <v>211</v>
      </c>
      <c r="D10" s="23" t="n">
        <v>0</v>
      </c>
      <c r="E10" s="23" t="n">
        <v>15000</v>
      </c>
      <c r="F10" s="23" t="n">
        <v>0</v>
      </c>
      <c r="G10" s="23" t="n">
        <v>2500</v>
      </c>
      <c r="H10" s="40" t="s">
        <v>213</v>
      </c>
    </row>
    <row r="11" customFormat="false" ht="26.85" hidden="false" customHeight="false" outlineLevel="0" collapsed="false">
      <c r="A11" s="42" t="s">
        <v>214</v>
      </c>
      <c r="B11" s="42" t="s">
        <v>215</v>
      </c>
      <c r="C11" s="42" t="s">
        <v>216</v>
      </c>
      <c r="D11" s="23" t="n">
        <v>0</v>
      </c>
      <c r="E11" s="23" t="n">
        <v>15000</v>
      </c>
      <c r="F11" s="23" t="n">
        <v>0</v>
      </c>
      <c r="G11" s="23" t="n">
        <v>2500</v>
      </c>
      <c r="H11" s="40" t="s">
        <v>217</v>
      </c>
    </row>
    <row r="12" customFormat="false" ht="15" hidden="false" customHeight="false" outlineLevel="0" collapsed="false">
      <c r="A12" s="42" t="s">
        <v>218</v>
      </c>
      <c r="B12" s="42" t="s">
        <v>219</v>
      </c>
      <c r="C12" s="42" t="s">
        <v>220</v>
      </c>
      <c r="D12" s="23" t="n">
        <v>500</v>
      </c>
      <c r="E12" s="23" t="n">
        <v>0</v>
      </c>
      <c r="F12" s="23" t="n">
        <v>0</v>
      </c>
      <c r="G12" s="23" t="n">
        <v>0</v>
      </c>
      <c r="H12" s="40" t="s">
        <v>221</v>
      </c>
    </row>
    <row r="13" customFormat="false" ht="15" hidden="false" customHeight="false" outlineLevel="0" collapsed="false">
      <c r="A13" s="36" t="s">
        <v>222</v>
      </c>
      <c r="B13" s="45"/>
      <c r="C13" s="45"/>
      <c r="D13" s="34" t="n">
        <f aca="false">SUM(D5:D12)</f>
        <v>66000</v>
      </c>
      <c r="E13" s="34" t="n">
        <f aca="false">SUM(E5:E12)</f>
        <v>80500</v>
      </c>
      <c r="F13" s="34" t="n">
        <f aca="false">SUM(F5:F12)</f>
        <v>52500</v>
      </c>
      <c r="G13" s="34" t="n">
        <f aca="false">SUM(G5:G12)</f>
        <v>55000</v>
      </c>
      <c r="H13" s="46" t="s">
        <v>223</v>
      </c>
    </row>
    <row r="15" customFormat="false" ht="15" hidden="false" customHeight="false" outlineLevel="0" collapsed="false">
      <c r="A15" s="6" t="s">
        <v>161</v>
      </c>
      <c r="B15" s="8" t="s">
        <v>224</v>
      </c>
      <c r="D15" s="43" t="n">
        <f aca="false">D13-E13</f>
        <v>-14500</v>
      </c>
      <c r="F15" s="8" t="s">
        <v>225</v>
      </c>
      <c r="G15" s="43" t="n">
        <f aca="false">F13-G13</f>
        <v>-2500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9.7" hidden="false" customHeight="false" outlineLevel="0" collapsed="false">
      <c r="A1" s="1" t="s">
        <v>226</v>
      </c>
    </row>
    <row r="2" customFormat="false" ht="15" hidden="false" customHeight="false" outlineLevel="0" collapsed="false">
      <c r="A2" s="3" t="s">
        <v>227</v>
      </c>
    </row>
    <row r="4" customFormat="false" ht="16.15" hidden="false" customHeight="false" outlineLevel="0" collapsed="false">
      <c r="A4" s="2" t="s">
        <v>228</v>
      </c>
    </row>
    <row r="5" customFormat="false" ht="109.5" hidden="false" customHeight="true" outlineLevel="0" collapsed="false">
      <c r="A5" s="4" t="s">
        <v>229</v>
      </c>
    </row>
    <row r="7" customFormat="false" ht="16.15" hidden="false" customHeight="false" outlineLevel="0" collapsed="false">
      <c r="A7" s="2" t="s">
        <v>230</v>
      </c>
    </row>
    <row r="8" customFormat="false" ht="49.5" hidden="false" customHeight="true" outlineLevel="0" collapsed="false">
      <c r="A8" s="4" t="s">
        <v>231</v>
      </c>
    </row>
    <row r="10" customFormat="false" ht="16.15" hidden="false" customHeight="false" outlineLevel="0" collapsed="false">
      <c r="A10" s="2" t="s">
        <v>232</v>
      </c>
    </row>
    <row r="11" customFormat="false" ht="64.5" hidden="false" customHeight="true" outlineLevel="0" collapsed="false">
      <c r="A11" s="4" t="s">
        <v>233</v>
      </c>
    </row>
    <row r="13" customFormat="false" ht="16.15" hidden="false" customHeight="false" outlineLevel="0" collapsed="false">
      <c r="A13" s="47" t="s">
        <v>234</v>
      </c>
    </row>
    <row r="14" customFormat="false" ht="49.5" hidden="false" customHeight="true" outlineLevel="0" collapsed="false">
      <c r="A14" s="4" t="s">
        <v>235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55"/>
    <col collapsed="false" customWidth="true" hidden="false" outlineLevel="0" max="4" min="4" style="0" width="40"/>
  </cols>
  <sheetData>
    <row r="1" customFormat="false" ht="19.7" hidden="false" customHeight="false" outlineLevel="0" collapsed="false">
      <c r="A1" s="1" t="s">
        <v>236</v>
      </c>
    </row>
    <row r="2" customFormat="false" ht="15" hidden="false" customHeight="false" outlineLevel="0" collapsed="false">
      <c r="A2" s="3" t="s">
        <v>237</v>
      </c>
    </row>
    <row r="4" customFormat="false" ht="15" hidden="false" customHeight="false" outlineLevel="0" collapsed="false">
      <c r="A4" s="15" t="s">
        <v>238</v>
      </c>
      <c r="B4" s="15" t="s">
        <v>239</v>
      </c>
      <c r="C4" s="15" t="s">
        <v>240</v>
      </c>
      <c r="D4" s="15" t="s">
        <v>241</v>
      </c>
    </row>
    <row r="5" customFormat="false" ht="39.75" hidden="false" customHeight="true" outlineLevel="0" collapsed="false">
      <c r="A5" s="40" t="s">
        <v>242</v>
      </c>
      <c r="B5" s="40" t="s">
        <v>243</v>
      </c>
      <c r="C5" s="40" t="s">
        <v>244</v>
      </c>
      <c r="D5" s="48"/>
    </row>
    <row r="6" customFormat="false" ht="39.75" hidden="false" customHeight="true" outlineLevel="0" collapsed="false">
      <c r="A6" s="40" t="s">
        <v>242</v>
      </c>
      <c r="B6" s="40" t="s">
        <v>245</v>
      </c>
      <c r="C6" s="40" t="s">
        <v>246</v>
      </c>
      <c r="D6" s="48"/>
    </row>
    <row r="7" customFormat="false" ht="39.75" hidden="false" customHeight="true" outlineLevel="0" collapsed="false">
      <c r="A7" s="40" t="s">
        <v>242</v>
      </c>
      <c r="B7" s="40" t="s">
        <v>247</v>
      </c>
      <c r="C7" s="40" t="s">
        <v>248</v>
      </c>
      <c r="D7" s="48"/>
    </row>
    <row r="8" customFormat="false" ht="39.75" hidden="false" customHeight="true" outlineLevel="0" collapsed="false">
      <c r="A8" s="40" t="s">
        <v>249</v>
      </c>
      <c r="B8" s="40" t="s">
        <v>250</v>
      </c>
      <c r="C8" s="40" t="s">
        <v>251</v>
      </c>
      <c r="D8" s="48"/>
    </row>
    <row r="9" customFormat="false" ht="39.75" hidden="false" customHeight="true" outlineLevel="0" collapsed="false">
      <c r="A9" s="40" t="s">
        <v>252</v>
      </c>
      <c r="B9" s="40" t="s">
        <v>253</v>
      </c>
      <c r="C9" s="40" t="s">
        <v>254</v>
      </c>
      <c r="D9" s="48"/>
    </row>
    <row r="10" customFormat="false" ht="39.75" hidden="false" customHeight="true" outlineLevel="0" collapsed="false">
      <c r="A10" s="40" t="s">
        <v>242</v>
      </c>
      <c r="B10" s="40" t="s">
        <v>255</v>
      </c>
      <c r="C10" s="40" t="s">
        <v>256</v>
      </c>
      <c r="D10" s="48"/>
    </row>
    <row r="11" customFormat="false" ht="39.75" hidden="false" customHeight="true" outlineLevel="0" collapsed="false">
      <c r="A11" s="40" t="s">
        <v>257</v>
      </c>
      <c r="B11" s="40" t="s">
        <v>258</v>
      </c>
      <c r="C11" s="40" t="s">
        <v>259</v>
      </c>
      <c r="D11" s="48"/>
    </row>
    <row r="12" customFormat="false" ht="39.75" hidden="false" customHeight="true" outlineLevel="0" collapsed="false">
      <c r="A12" s="40" t="s">
        <v>242</v>
      </c>
      <c r="B12" s="40" t="s">
        <v>260</v>
      </c>
      <c r="C12" s="40" t="s">
        <v>261</v>
      </c>
      <c r="D12" s="48"/>
    </row>
    <row r="13" customFormat="false" ht="39.75" hidden="false" customHeight="true" outlineLevel="0" collapsed="false">
      <c r="A13" s="40" t="s">
        <v>262</v>
      </c>
      <c r="B13" s="40" t="s">
        <v>263</v>
      </c>
      <c r="C13" s="40" t="s">
        <v>264</v>
      </c>
      <c r="D13" s="48"/>
    </row>
    <row r="14" customFormat="false" ht="39.75" hidden="false" customHeight="true" outlineLevel="0" collapsed="false">
      <c r="A14" s="40" t="s">
        <v>265</v>
      </c>
      <c r="B14" s="40" t="s">
        <v>266</v>
      </c>
      <c r="C14" s="40" t="s">
        <v>267</v>
      </c>
      <c r="D14" s="48"/>
    </row>
    <row r="15" customFormat="false" ht="30" hidden="false" customHeight="true" outlineLevel="0" collapsed="false">
      <c r="A15" s="49"/>
      <c r="B15" s="49"/>
      <c r="C15" s="49"/>
      <c r="D15" s="49"/>
    </row>
    <row r="16" customFormat="false" ht="30" hidden="false" customHeight="true" outlineLevel="0" collapsed="false">
      <c r="A16" s="49"/>
      <c r="B16" s="49"/>
      <c r="C16" s="49"/>
      <c r="D16" s="49"/>
    </row>
    <row r="17" customFormat="false" ht="30" hidden="false" customHeight="true" outlineLevel="0" collapsed="false">
      <c r="A17" s="49"/>
      <c r="B17" s="49"/>
      <c r="C17" s="49"/>
      <c r="D17" s="49"/>
    </row>
    <row r="18" customFormat="false" ht="30" hidden="false" customHeight="true" outlineLevel="0" collapsed="false">
      <c r="A18" s="49"/>
      <c r="B18" s="49"/>
      <c r="C18" s="49"/>
      <c r="D18" s="49"/>
    </row>
    <row r="19" customFormat="false" ht="30" hidden="false" customHeight="true" outlineLevel="0" collapsed="false">
      <c r="A19" s="49"/>
      <c r="B19" s="49"/>
      <c r="C19" s="49"/>
      <c r="D19" s="49"/>
    </row>
    <row r="20" customFormat="false" ht="30" hidden="false" customHeight="true" outlineLevel="0" collapsed="false">
      <c r="A20" s="49"/>
      <c r="B20" s="49"/>
      <c r="C20" s="49"/>
      <c r="D20" s="49"/>
    </row>
    <row r="21" customFormat="false" ht="30" hidden="false" customHeight="true" outlineLevel="0" collapsed="false">
      <c r="A21" s="49"/>
      <c r="B21" s="49"/>
      <c r="C21" s="49"/>
      <c r="D21" s="49"/>
    </row>
    <row r="22" customFormat="false" ht="30" hidden="false" customHeight="true" outlineLevel="0" collapsed="false">
      <c r="A22" s="49"/>
      <c r="B22" s="49"/>
      <c r="C22" s="49"/>
      <c r="D22" s="49"/>
    </row>
    <row r="23" customFormat="false" ht="30" hidden="false" customHeight="true" outlineLevel="0" collapsed="false">
      <c r="A23" s="49"/>
      <c r="B23" s="49"/>
      <c r="C23" s="49"/>
      <c r="D23" s="49"/>
    </row>
    <row r="24" customFormat="false" ht="30" hidden="false" customHeight="true" outlineLevel="0" collapsed="false">
      <c r="A24" s="49"/>
      <c r="B24" s="49"/>
      <c r="C24" s="49"/>
      <c r="D24" s="4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2026-05-20T07:10:09Z</dcterms:created>
  <dc:creator>openpyxl</dc:creator>
  <dc:description/>
  <dc:language>en-US</dc:language>
  <cp:lastModifiedBy/>
  <dcterms:modified xsi:type="dcterms:W3CDTF">2026-05-20T07:10:09Z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