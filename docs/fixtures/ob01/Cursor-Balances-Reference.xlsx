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ANSP 2026-03-31" sheetId="2" state="visible" r:id="rId4"/>
    <sheet name="TRK 2024-12-3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<sst xmlns="http://schemas.openxmlformats.org/spreadsheetml/2006/main" count="210" uniqueCount="145">
  <si>
    <t xml:space="preserve">IH35 — Opening Balance Worksheet (EDITABLE)</t>
  </si>
  <si>
    <t xml:space="preserve">Snapshot pulled: 2026-07-28 16:48 CDT</t>
  </si>
  <si>
    <t xml:space="preserve">WHAT THIS IS</t>
  </si>
  <si>
    <t xml:space="preserve">A faithful, editable clone of the QuickBooks balance sheet for each entity, to review and adjust</t>
  </si>
  <si>
    <t xml:space="preserve">before opening balances are entered into the TMS. Nothing here is posted to production.</t>
  </si>
  <si>
    <t xml:space="preserve">ENTITIES &amp; DATES (per locked decision)</t>
  </si>
  <si>
    <t xml:space="preserve">• TRANSP tab — IH 35 Transportation LLC — as of 03/31/2026 (Ch.11 / ASC 470-60 operating cutover).</t>
  </si>
  <si>
    <t xml:space="preserve">• TRK tab — IH 35 Trucking LLC — as of 12/31/2024 (asset-holder clone). AWAITING DATA — separate QBO company.</t>
  </si>
  <si>
    <t xml:space="preserve">HOW TO EDIT</t>
  </si>
  <si>
    <t xml:space="preserve">• Yellow cells are yours to edit: the 'Adjustment' column, 'Map to TMS COA', and 'Notes'.</t>
  </si>
  <si>
    <t xml:space="preserve">• 'QBO Snapshot (signed)' = raw QBO balance, signed-actual. Left as reference; do not treat as final.</t>
  </si>
  <si>
    <t xml:space="preserve">• 'Adjusted Opening' = Snapshot + your Adjustment (formula). This is what would be entered once final.</t>
  </si>
  <si>
    <t xml:space="preserve">• Watch the BALANCE CHECK row: the Adjusted column must also net to 0 before entry.</t>
  </si>
  <si>
    <t xml:space="preserve">HONEST DATA-QUALITY NOTES (why adjustments are needed)</t>
  </si>
  <si>
    <t xml:space="preserve">• The 03/31/2026 TRANSP snapshot is mid-cleanup: total assets are NEGATIVE, A/R is negative, several</t>
  </si>
  <si>
    <t xml:space="preserve">  cash accounts are negative, and 'RTS FINANCIAL-VIRTUAL ACCT' carries a -$8.27M plug. These reflect the</t>
  </si>
  <si>
    <t xml:space="preserve">  2022/2024 embezzlement cleanup still in progress. Do NOT enter as-is — adjust with Martin, or re-pull</t>
  </si>
  <si>
    <t xml:space="preserve">  when he finalizes each period. Rows needing review are flagged in the Notes column.</t>
  </si>
  <si>
    <t xml:space="preserve">• Unauthorized-expense receivables (Anarely, Ignacio) stay as receivables pursued in bankruptcy — not written off.</t>
  </si>
  <si>
    <t xml:space="preserve">GOVERNANCE</t>
  </si>
  <si>
    <t xml:space="preserve">• Opening balances are owner-entered + CPA sign-off. This agent does not post opening balances to prod.</t>
  </si>
  <si>
    <t xml:space="preserve">• Approach = clone-as-is-then-adjust: clone faithfully so TMS ties to QBO, then book post-opening adjustments.</t>
  </si>
  <si>
    <t xml:space="preserve">IH 35 Transportation LLC (TRANSP)</t>
  </si>
  <si>
    <t xml:space="preserve">Opening Balance Sheet as of March 31, 2026</t>
  </si>
  <si>
    <t xml:space="preserve">Source: QuickBooks Online (accrual). Snapshot pulled 2026-07-28 16:48 CDT.</t>
  </si>
  <si>
    <t xml:space="preserve">MOVING TARGET: QBO being cleaned (2022/2024 embezzlement) + 2025/26 recategorized by Martin. Re-pull to refresh.</t>
  </si>
  <si>
    <t xml:space="preserve">Section</t>
  </si>
  <si>
    <t xml:space="preserve">Subsection</t>
  </si>
  <si>
    <t xml:space="preserve">Account (QBO)</t>
  </si>
  <si>
    <t xml:space="preserve">QBO Snapshot (signed)</t>
  </si>
  <si>
    <t xml:space="preserve">Adjustment (edit)</t>
  </si>
  <si>
    <t xml:space="preserve">Adjusted Opening</t>
  </si>
  <si>
    <t xml:space="preserve">Map to TMS COA (edit)</t>
  </si>
  <si>
    <t xml:space="preserve">Notes / Review (edit)</t>
  </si>
  <si>
    <t xml:space="preserve">ASSETS</t>
  </si>
  <si>
    <t xml:space="preserve">Bank Accounts</t>
  </si>
  <si>
    <t xml:space="preserve">BOA-CHECKING-1135</t>
  </si>
  <si>
    <t xml:space="preserve">BOA-SAVINGS-1148</t>
  </si>
  <si>
    <t xml:space="preserve">REVIEW - negative bank balance; verify vs statement</t>
  </si>
  <si>
    <t xml:space="preserve">Cash on hand</t>
  </si>
  <si>
    <t xml:space="preserve">Comdata-Prepay Express Code Account</t>
  </si>
  <si>
    <t xml:space="preserve">REVIEW - negative; fuel prepay clearing</t>
  </si>
  <si>
    <t xml:space="preserve">Factoring Reserves Love's Solutions</t>
  </si>
  <si>
    <t xml:space="preserve">Factoring reserve = short-term asset (locked)</t>
  </si>
  <si>
    <t xml:space="preserve">Faro Factoring Reserves</t>
  </si>
  <si>
    <t xml:space="preserve">REVIEW - factoring reserve should be asset (positive)</t>
  </si>
  <si>
    <t xml:space="preserve">IBC-5231</t>
  </si>
  <si>
    <t xml:space="preserve">IBC-AHORROS-6089</t>
  </si>
  <si>
    <t xml:space="preserve">REVIEW - negative savings balance</t>
  </si>
  <si>
    <t xml:space="preserve">Petty Cash</t>
  </si>
  <si>
    <t xml:space="preserve">PNC-2786</t>
  </si>
  <si>
    <t xml:space="preserve">PNC-2954</t>
  </si>
  <si>
    <t xml:space="preserve">PNC-2962</t>
  </si>
  <si>
    <t xml:space="preserve">Relay-Diesel Bank Account</t>
  </si>
  <si>
    <t xml:space="preserve">RTS-Factoring Reserves</t>
  </si>
  <si>
    <t xml:space="preserve">Transportation/Trucking Loan Account</t>
  </si>
  <si>
    <t xml:space="preserve">Intercompany - reconcile vs TRK</t>
  </si>
  <si>
    <t xml:space="preserve">VANTAGE-6071</t>
  </si>
  <si>
    <t xml:space="preserve">VANTAGE-6107</t>
  </si>
  <si>
    <t xml:space="preserve">VANTAGE-6224</t>
  </si>
  <si>
    <t xml:space="preserve">WF - General Operating 6103</t>
  </si>
  <si>
    <t xml:space="preserve">WF - Payroll 6129</t>
  </si>
  <si>
    <t xml:space="preserve">WF - Savings 6137</t>
  </si>
  <si>
    <t xml:space="preserve">Subtotal - Bank Accounts</t>
  </si>
  <si>
    <t xml:space="preserve">Accounts Receivable</t>
  </si>
  <si>
    <t xml:space="preserve">Accounts Receivable (A/R) [control]</t>
  </si>
  <si>
    <t xml:space="preserve">REVIEW - negative A/R control; expect positive after cleanup</t>
  </si>
  <si>
    <t xml:space="preserve">Unauthorized Expenses Anarely Alcazar</t>
  </si>
  <si>
    <t xml:space="preserve">Receivable pursued in bankruptcy - NOT written off (locked §7)</t>
  </si>
  <si>
    <t xml:space="preserve">Unauthorized Expenses Ignacio Munoz</t>
  </si>
  <si>
    <t xml:space="preserve">Subtotal - Accounts Receivable</t>
  </si>
  <si>
    <t xml:space="preserve">Other Current Assets</t>
  </si>
  <si>
    <t xml:space="preserve">Driver Cash Advance</t>
  </si>
  <si>
    <t xml:space="preserve">Driver Cash Advance = asset (locked)</t>
  </si>
  <si>
    <t xml:space="preserve">eCapital</t>
  </si>
  <si>
    <t xml:space="preserve">Loans to Others/IH 35 Trucking</t>
  </si>
  <si>
    <t xml:space="preserve">Intercompany - reconcile vs TRK books</t>
  </si>
  <si>
    <t xml:space="preserve">LOVES SOLUTIONS,LLC</t>
  </si>
  <si>
    <t xml:space="preserve">QuickBooks Tax Holding Account</t>
  </si>
  <si>
    <t xml:space="preserve">RTS FINANCIAL-VIRTUAL ACCT</t>
  </si>
  <si>
    <t xml:space="preserve">REVIEW - factoring virtual/clearing acct; large negative from embezzlement-period cleanup in progress. DO NOT enter as-is.</t>
  </si>
  <si>
    <t xml:space="preserve">Uncategorized Asset</t>
  </si>
  <si>
    <t xml:space="preserve">REVIEW - uncategorized; reclassify before entry</t>
  </si>
  <si>
    <t xml:space="preserve">Subtotal - Other Current Assets</t>
  </si>
  <si>
    <t xml:space="preserve">TOTAL ASSETS</t>
  </si>
  <si>
    <t xml:space="preserve">LIABILITIES</t>
  </si>
  <si>
    <t xml:space="preserve">Accounts Payable</t>
  </si>
  <si>
    <t xml:space="preserve">Accounts Payable (A/P)</t>
  </si>
  <si>
    <t xml:space="preserve">Subtotal - Accounts Payable</t>
  </si>
  <si>
    <t xml:space="preserve">Credit Cards</t>
  </si>
  <si>
    <t xml:space="preserve">Capital One-Scentsx</t>
  </si>
  <si>
    <t xml:space="preserve">REVIEW - Scentsx related; verify entity</t>
  </si>
  <si>
    <t xml:space="preserve">Amex Card-</t>
  </si>
  <si>
    <t xml:space="preserve">Citi-Executive Card</t>
  </si>
  <si>
    <t xml:space="preserve">Comdata-Driven Fuel Card</t>
  </si>
  <si>
    <t xml:space="preserve">REVIEW - negative CC balance (credit/overpay)</t>
  </si>
  <si>
    <t xml:space="preserve">Discover Card-4451</t>
  </si>
  <si>
    <t xml:space="preserve">Subtotal - Credit Cards</t>
  </si>
  <si>
    <t xml:space="preserve">Other Current Liabilities</t>
  </si>
  <si>
    <t xml:space="preserve">Capital Partners-Cash Advane</t>
  </si>
  <si>
    <t xml:space="preserve">Merchant cash advance - review ASC classification</t>
  </si>
  <si>
    <t xml:space="preserve">Faro Loan</t>
  </si>
  <si>
    <t xml:space="preserve">REVIEW - factoring advance liability; expect positive</t>
  </si>
  <si>
    <t xml:space="preserve">Loan-Scentsx</t>
  </si>
  <si>
    <t xml:space="preserve">REVIEW - Scentsx related-party; verify entity/classification</t>
  </si>
  <si>
    <t xml:space="preserve">Owner Loan-Acct-4019</t>
  </si>
  <si>
    <t xml:space="preserve">Related-party owner loan</t>
  </si>
  <si>
    <t xml:space="preserve">Owner Loan-Acct-9745</t>
  </si>
  <si>
    <t xml:space="preserve">REVIEW - owner loan negative</t>
  </si>
  <si>
    <t xml:space="preserve">RTS-Loans</t>
  </si>
  <si>
    <t xml:space="preserve">RTS - NEWCO LOAN</t>
  </si>
  <si>
    <t xml:space="preserve">Direct Deposit Payable</t>
  </si>
  <si>
    <t xml:space="preserve">Direct Deposit Payable ( 353 )</t>
  </si>
  <si>
    <t xml:space="preserve">Federal Taxes (941/943/944)</t>
  </si>
  <si>
    <t xml:space="preserve">Payroll tax liability</t>
  </si>
  <si>
    <t xml:space="preserve">Federal Unemployment (940)</t>
  </si>
  <si>
    <t xml:space="preserve">TX Unemployment Tax</t>
  </si>
  <si>
    <t xml:space="preserve">Sent Payments to trucking</t>
  </si>
  <si>
    <t xml:space="preserve">Intercompany</t>
  </si>
  <si>
    <t xml:space="preserve">Subtotal - Other Current Liabilities</t>
  </si>
  <si>
    <t xml:space="preserve">Long-term Liabilities</t>
  </si>
  <si>
    <t xml:space="preserve">2025-Damage Claim Escrow</t>
  </si>
  <si>
    <t xml:space="preserve">Escrow = liability (locked)</t>
  </si>
  <si>
    <t xml:space="preserve">2026-Damage Claim Escrow</t>
  </si>
  <si>
    <t xml:space="preserve">EXPRESS CODE</t>
  </si>
  <si>
    <t xml:space="preserve">Independence Bank-Credit Line</t>
  </si>
  <si>
    <t xml:space="preserve">REVIEW - LOC negative</t>
  </si>
  <si>
    <t xml:space="preserve">Subtotal - Long-term Liabilities</t>
  </si>
  <si>
    <t xml:space="preserve">TOTAL LIABILITIES</t>
  </si>
  <si>
    <t xml:space="preserve">EQUITY</t>
  </si>
  <si>
    <t xml:space="preserve">Equity</t>
  </si>
  <si>
    <t xml:space="preserve">Opening Balance Equity</t>
  </si>
  <si>
    <t xml:space="preserve">OBE must net ~0; temporary clearing -&gt; Retained Earnings (locked §2)</t>
  </si>
  <si>
    <t xml:space="preserve">Retained Earnings</t>
  </si>
  <si>
    <t xml:space="preserve">REVIEW - reflects embezzlement-period cleanup; will shift as Martin finalizes</t>
  </si>
  <si>
    <t xml:space="preserve">Net Income</t>
  </si>
  <si>
    <t xml:space="preserve">Current-year P&amp;L to date; rolls to RE at close</t>
  </si>
  <si>
    <t xml:space="preserve">Subtotal - Equity</t>
  </si>
  <si>
    <t xml:space="preserve">TOTAL EQUITY</t>
  </si>
  <si>
    <t xml:space="preserve">BALANCE CHECK  (Assets - (Liab + Equity) = 0)</t>
  </si>
  <si>
    <t xml:space="preserve">(Snapshot balances by A=L+E per QBO; adjusted col must also net 0 before entry)</t>
  </si>
  <si>
    <t xml:space="preserve">IH 35 Trucking LLC (TRK)</t>
  </si>
  <si>
    <t xml:space="preserve">Opening Balance Sheet as of December 31, 2024</t>
  </si>
  <si>
    <t xml:space="preserve">AWAITING DATA</t>
  </si>
  <si>
    <t xml:space="preserve">TRK is a separate QuickBooks company. Connect the connector to 'IH 35 Trucking LLC' (or provide Chrome access to it) and I will pull the 12/31/2024 balance sheet into this tab, same layout.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</si>
</sst>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7A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B91C1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334155"/>
        <bgColor rgb="FF1F2A44"/>
      </patternFill>
    </fill>
    <fill>
      <patternFill patternType="solid">
        <fgColor rgb="FFFFF9C4"/>
        <bgColor rgb="FFFFFFFF"/>
      </patternFill>
    </fill>
    <fill>
      <patternFill patternType="solid">
        <fgColor rgb="FFE2E8F0"/>
        <bgColor rgb="FFD1FAE5"/>
      </patternFill>
    </fill>
    <fill>
      <patternFill patternType="solid">
        <fgColor rgb="FFD1FAE5"/>
        <bgColor rgb="FFCCFFFF"/>
      </patternFill>
    </fill>
    <fill>
      <patternFill patternType="solid">
        <fgColor rgb="FFFDE68A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2E8F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334155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13</v>
      </c>
    </row>
    <row r="20" customFormat="false" ht="15" hidden="false" customHeight="false" outlineLevel="0" collapsed="false">
      <c r="A20" s="2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2" t="s">
        <v>20</v>
      </c>
    </row>
    <row r="28" customFormat="false" ht="15" hidden="false" customHeight="false" outlineLevel="0" collapsed="false">
      <c r="A28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60"/>
  </cols>
  <sheetData>
    <row r="1" customFormat="false" ht="16.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3" customFormat="false" ht="15" hidden="false" customHeight="false" outlineLevel="0" collapsed="false">
      <c r="A3" s="4" t="s">
        <v>24</v>
      </c>
    </row>
    <row r="4" customFormat="false" ht="15" hidden="false" customHeight="false" outlineLevel="0" collapsed="false">
      <c r="A4" s="5" t="s">
        <v>25</v>
      </c>
    </row>
    <row r="6" customFormat="false" ht="30" hidden="false" customHeight="true" outlineLevel="0" collapsed="false">
      <c r="A6" s="6" t="s">
        <v>26</v>
      </c>
      <c r="B6" s="6" t="s">
        <v>27</v>
      </c>
      <c r="C6" s="6" t="s">
        <v>28</v>
      </c>
      <c r="D6" s="6" t="s">
        <v>29</v>
      </c>
      <c r="E6" s="6" t="s">
        <v>30</v>
      </c>
      <c r="F6" s="6" t="s">
        <v>31</v>
      </c>
      <c r="G6" s="6" t="s">
        <v>32</v>
      </c>
      <c r="H6" s="6" t="s">
        <v>33</v>
      </c>
    </row>
    <row r="7" customFormat="false" ht="15" hidden="false" customHeight="false" outlineLevel="0" collapsed="false">
      <c r="A7" s="7" t="s">
        <v>34</v>
      </c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9"/>
      <c r="B8" s="2" t="s">
        <v>35</v>
      </c>
      <c r="C8" s="2" t="s">
        <v>36</v>
      </c>
      <c r="D8" s="10" t="n">
        <v>147753.16</v>
      </c>
      <c r="E8" s="11" t="n">
        <v>0</v>
      </c>
      <c r="F8" s="10" t="n">
        <f aca="false">D8+E8</f>
        <v>147753.16</v>
      </c>
      <c r="G8" s="12"/>
      <c r="H8" s="13"/>
    </row>
    <row r="9" customFormat="false" ht="15" hidden="false" customHeight="false" outlineLevel="0" collapsed="false">
      <c r="A9" s="9"/>
      <c r="B9" s="2" t="s">
        <v>35</v>
      </c>
      <c r="C9" s="2" t="s">
        <v>37</v>
      </c>
      <c r="D9" s="10" t="n">
        <v>-124034.07</v>
      </c>
      <c r="E9" s="11" t="n">
        <v>0</v>
      </c>
      <c r="F9" s="10" t="n">
        <f aca="false">D9+E9</f>
        <v>-124034.07</v>
      </c>
      <c r="G9" s="12"/>
      <c r="H9" s="13" t="s">
        <v>38</v>
      </c>
    </row>
    <row r="10" customFormat="false" ht="15" hidden="false" customHeight="false" outlineLevel="0" collapsed="false">
      <c r="A10" s="9"/>
      <c r="B10" s="2" t="s">
        <v>35</v>
      </c>
      <c r="C10" s="2" t="s">
        <v>39</v>
      </c>
      <c r="D10" s="10" t="n">
        <v>0</v>
      </c>
      <c r="E10" s="11" t="n">
        <v>0</v>
      </c>
      <c r="F10" s="10" t="n">
        <f aca="false">D10+E10</f>
        <v>0</v>
      </c>
      <c r="G10" s="12"/>
      <c r="H10" s="13"/>
    </row>
    <row r="11" customFormat="false" ht="15" hidden="false" customHeight="false" outlineLevel="0" collapsed="false">
      <c r="A11" s="9"/>
      <c r="B11" s="2" t="s">
        <v>35</v>
      </c>
      <c r="C11" s="2" t="s">
        <v>40</v>
      </c>
      <c r="D11" s="10" t="n">
        <v>-246665.63</v>
      </c>
      <c r="E11" s="11" t="n">
        <v>0</v>
      </c>
      <c r="F11" s="10" t="n">
        <f aca="false">D11+E11</f>
        <v>-246665.63</v>
      </c>
      <c r="G11" s="12"/>
      <c r="H11" s="13" t="s">
        <v>41</v>
      </c>
    </row>
    <row r="12" customFormat="false" ht="15" hidden="false" customHeight="false" outlineLevel="0" collapsed="false">
      <c r="A12" s="9"/>
      <c r="B12" s="2" t="s">
        <v>35</v>
      </c>
      <c r="C12" s="2" t="s">
        <v>42</v>
      </c>
      <c r="D12" s="10" t="n">
        <v>12994.99</v>
      </c>
      <c r="E12" s="11" t="n">
        <v>0</v>
      </c>
      <c r="F12" s="10" t="n">
        <f aca="false">D12+E12</f>
        <v>12994.99</v>
      </c>
      <c r="G12" s="12"/>
      <c r="H12" s="13" t="s">
        <v>43</v>
      </c>
    </row>
    <row r="13" customFormat="false" ht="15" hidden="false" customHeight="false" outlineLevel="0" collapsed="false">
      <c r="A13" s="9"/>
      <c r="B13" s="2" t="s">
        <v>35</v>
      </c>
      <c r="C13" s="2" t="s">
        <v>44</v>
      </c>
      <c r="D13" s="10" t="n">
        <v>-192631.81</v>
      </c>
      <c r="E13" s="11" t="n">
        <v>0</v>
      </c>
      <c r="F13" s="10" t="n">
        <f aca="false">D13+E13</f>
        <v>-192631.81</v>
      </c>
      <c r="G13" s="12"/>
      <c r="H13" s="13" t="s">
        <v>45</v>
      </c>
    </row>
    <row r="14" customFormat="false" ht="15" hidden="false" customHeight="false" outlineLevel="0" collapsed="false">
      <c r="A14" s="9"/>
      <c r="B14" s="2" t="s">
        <v>35</v>
      </c>
      <c r="C14" s="2" t="s">
        <v>46</v>
      </c>
      <c r="D14" s="10" t="n">
        <v>347613.28</v>
      </c>
      <c r="E14" s="11" t="n">
        <v>0</v>
      </c>
      <c r="F14" s="10" t="n">
        <f aca="false">D14+E14</f>
        <v>347613.28</v>
      </c>
      <c r="G14" s="12"/>
      <c r="H14" s="13"/>
    </row>
    <row r="15" customFormat="false" ht="15" hidden="false" customHeight="false" outlineLevel="0" collapsed="false">
      <c r="A15" s="9"/>
      <c r="B15" s="2" t="s">
        <v>35</v>
      </c>
      <c r="C15" s="2" t="s">
        <v>47</v>
      </c>
      <c r="D15" s="10" t="n">
        <v>-438691.43</v>
      </c>
      <c r="E15" s="11" t="n">
        <v>0</v>
      </c>
      <c r="F15" s="10" t="n">
        <f aca="false">D15+E15</f>
        <v>-438691.43</v>
      </c>
      <c r="G15" s="12"/>
      <c r="H15" s="13" t="s">
        <v>48</v>
      </c>
    </row>
    <row r="16" customFormat="false" ht="15" hidden="false" customHeight="false" outlineLevel="0" collapsed="false">
      <c r="A16" s="9"/>
      <c r="B16" s="2" t="s">
        <v>35</v>
      </c>
      <c r="C16" s="2" t="s">
        <v>49</v>
      </c>
      <c r="D16" s="10" t="n">
        <v>4000</v>
      </c>
      <c r="E16" s="11" t="n">
        <v>0</v>
      </c>
      <c r="F16" s="10" t="n">
        <f aca="false">D16+E16</f>
        <v>4000</v>
      </c>
      <c r="G16" s="12"/>
      <c r="H16" s="13"/>
    </row>
    <row r="17" customFormat="false" ht="15" hidden="false" customHeight="false" outlineLevel="0" collapsed="false">
      <c r="A17" s="9"/>
      <c r="B17" s="2" t="s">
        <v>35</v>
      </c>
      <c r="C17" s="2" t="s">
        <v>50</v>
      </c>
      <c r="D17" s="10" t="n">
        <v>1523.37</v>
      </c>
      <c r="E17" s="11" t="n">
        <v>0</v>
      </c>
      <c r="F17" s="10" t="n">
        <f aca="false">D17+E17</f>
        <v>1523.37</v>
      </c>
      <c r="G17" s="12"/>
      <c r="H17" s="13"/>
    </row>
    <row r="18" customFormat="false" ht="15" hidden="false" customHeight="false" outlineLevel="0" collapsed="false">
      <c r="A18" s="9"/>
      <c r="B18" s="2" t="s">
        <v>35</v>
      </c>
      <c r="C18" s="2" t="s">
        <v>51</v>
      </c>
      <c r="D18" s="10" t="n">
        <v>1547965.53</v>
      </c>
      <c r="E18" s="11" t="n">
        <v>0</v>
      </c>
      <c r="F18" s="10" t="n">
        <f aca="false">D18+E18</f>
        <v>1547965.53</v>
      </c>
      <c r="G18" s="12"/>
      <c r="H18" s="13"/>
    </row>
    <row r="19" customFormat="false" ht="15" hidden="false" customHeight="false" outlineLevel="0" collapsed="false">
      <c r="A19" s="9"/>
      <c r="B19" s="2" t="s">
        <v>35</v>
      </c>
      <c r="C19" s="2" t="s">
        <v>52</v>
      </c>
      <c r="D19" s="10" t="n">
        <v>-481.02</v>
      </c>
      <c r="E19" s="11" t="n">
        <v>0</v>
      </c>
      <c r="F19" s="10" t="n">
        <f aca="false">D19+E19</f>
        <v>-481.02</v>
      </c>
      <c r="G19" s="12"/>
      <c r="H19" s="13"/>
    </row>
    <row r="20" customFormat="false" ht="15" hidden="false" customHeight="false" outlineLevel="0" collapsed="false">
      <c r="A20" s="9"/>
      <c r="B20" s="2" t="s">
        <v>35</v>
      </c>
      <c r="C20" s="2" t="s">
        <v>53</v>
      </c>
      <c r="D20" s="10" t="n">
        <v>5153.96</v>
      </c>
      <c r="E20" s="11" t="n">
        <v>0</v>
      </c>
      <c r="F20" s="10" t="n">
        <f aca="false">D20+E20</f>
        <v>5153.96</v>
      </c>
      <c r="G20" s="12"/>
      <c r="H20" s="13"/>
    </row>
    <row r="21" customFormat="false" ht="15" hidden="false" customHeight="false" outlineLevel="0" collapsed="false">
      <c r="A21" s="9"/>
      <c r="B21" s="2" t="s">
        <v>35</v>
      </c>
      <c r="C21" s="2" t="s">
        <v>54</v>
      </c>
      <c r="D21" s="10" t="n">
        <v>-446027.01</v>
      </c>
      <c r="E21" s="11" t="n">
        <v>0</v>
      </c>
      <c r="F21" s="10" t="n">
        <f aca="false">D21+E21</f>
        <v>-446027.01</v>
      </c>
      <c r="G21" s="12"/>
      <c r="H21" s="13" t="s">
        <v>45</v>
      </c>
    </row>
    <row r="22" customFormat="false" ht="15" hidden="false" customHeight="false" outlineLevel="0" collapsed="false">
      <c r="A22" s="9"/>
      <c r="B22" s="2" t="s">
        <v>35</v>
      </c>
      <c r="C22" s="2" t="s">
        <v>55</v>
      </c>
      <c r="D22" s="10" t="n">
        <v>-14000</v>
      </c>
      <c r="E22" s="11" t="n">
        <v>0</v>
      </c>
      <c r="F22" s="10" t="n">
        <f aca="false">D22+E22</f>
        <v>-14000</v>
      </c>
      <c r="G22" s="12"/>
      <c r="H22" s="13" t="s">
        <v>56</v>
      </c>
    </row>
    <row r="23" customFormat="false" ht="15" hidden="false" customHeight="false" outlineLevel="0" collapsed="false">
      <c r="A23" s="9"/>
      <c r="B23" s="2" t="s">
        <v>35</v>
      </c>
      <c r="C23" s="2" t="s">
        <v>57</v>
      </c>
      <c r="D23" s="10" t="n">
        <v>0</v>
      </c>
      <c r="E23" s="11" t="n">
        <v>0</v>
      </c>
      <c r="F23" s="10" t="n">
        <f aca="false">D23+E23</f>
        <v>0</v>
      </c>
      <c r="G23" s="12"/>
      <c r="H23" s="13"/>
    </row>
    <row r="24" customFormat="false" ht="15" hidden="false" customHeight="false" outlineLevel="0" collapsed="false">
      <c r="A24" s="9"/>
      <c r="B24" s="2" t="s">
        <v>35</v>
      </c>
      <c r="C24" s="2" t="s">
        <v>58</v>
      </c>
      <c r="D24" s="10" t="n">
        <v>-815.31</v>
      </c>
      <c r="E24" s="11" t="n">
        <v>0</v>
      </c>
      <c r="F24" s="10" t="n">
        <f aca="false">D24+E24</f>
        <v>-815.31</v>
      </c>
      <c r="G24" s="12"/>
      <c r="H24" s="13"/>
    </row>
    <row r="25" customFormat="false" ht="15" hidden="false" customHeight="false" outlineLevel="0" collapsed="false">
      <c r="A25" s="9"/>
      <c r="B25" s="2" t="s">
        <v>35</v>
      </c>
      <c r="C25" s="2" t="s">
        <v>59</v>
      </c>
      <c r="D25" s="10" t="n">
        <v>15869.75</v>
      </c>
      <c r="E25" s="11" t="n">
        <v>0</v>
      </c>
      <c r="F25" s="10" t="n">
        <f aca="false">D25+E25</f>
        <v>15869.75</v>
      </c>
      <c r="G25" s="12"/>
      <c r="H25" s="13"/>
    </row>
    <row r="26" customFormat="false" ht="15" hidden="false" customHeight="false" outlineLevel="0" collapsed="false">
      <c r="A26" s="9"/>
      <c r="B26" s="2" t="s">
        <v>35</v>
      </c>
      <c r="C26" s="2" t="s">
        <v>60</v>
      </c>
      <c r="D26" s="10" t="n">
        <v>9543.15</v>
      </c>
      <c r="E26" s="11" t="n">
        <v>0</v>
      </c>
      <c r="F26" s="10" t="n">
        <f aca="false">D26+E26</f>
        <v>9543.15</v>
      </c>
      <c r="G26" s="12"/>
      <c r="H26" s="13"/>
    </row>
    <row r="27" customFormat="false" ht="15" hidden="false" customHeight="false" outlineLevel="0" collapsed="false">
      <c r="A27" s="9"/>
      <c r="B27" s="2" t="s">
        <v>35</v>
      </c>
      <c r="C27" s="2" t="s">
        <v>61</v>
      </c>
      <c r="D27" s="10" t="n">
        <v>-753.77</v>
      </c>
      <c r="E27" s="11" t="n">
        <v>0</v>
      </c>
      <c r="F27" s="10" t="n">
        <f aca="false">D27+E27</f>
        <v>-753.77</v>
      </c>
      <c r="G27" s="12"/>
      <c r="H27" s="13"/>
    </row>
    <row r="28" customFormat="false" ht="15" hidden="false" customHeight="false" outlineLevel="0" collapsed="false">
      <c r="A28" s="9"/>
      <c r="B28" s="2" t="s">
        <v>35</v>
      </c>
      <c r="C28" s="2" t="s">
        <v>62</v>
      </c>
      <c r="D28" s="10" t="n">
        <v>-23501.26</v>
      </c>
      <c r="E28" s="11" t="n">
        <v>0</v>
      </c>
      <c r="F28" s="10" t="n">
        <f aca="false">D28+E28</f>
        <v>-23501.26</v>
      </c>
      <c r="G28" s="12"/>
      <c r="H28" s="13" t="s">
        <v>48</v>
      </c>
    </row>
    <row r="29" customFormat="false" ht="15" hidden="false" customHeight="false" outlineLevel="0" collapsed="false">
      <c r="A29" s="14"/>
      <c r="B29" s="14"/>
      <c r="C29" s="15" t="s">
        <v>63</v>
      </c>
      <c r="D29" s="16" t="n">
        <f aca="false">SUM(D8:D28)</f>
        <v>604815.88</v>
      </c>
      <c r="E29" s="14"/>
      <c r="F29" s="16" t="n">
        <f aca="false">SUM(F8:F28)</f>
        <v>604815.88</v>
      </c>
      <c r="G29" s="14"/>
      <c r="H29" s="14"/>
    </row>
    <row r="30" customFormat="false" ht="15" hidden="false" customHeight="false" outlineLevel="0" collapsed="false">
      <c r="A30" s="9"/>
      <c r="B30" s="2" t="s">
        <v>64</v>
      </c>
      <c r="C30" s="2" t="s">
        <v>65</v>
      </c>
      <c r="D30" s="10" t="n">
        <v>-934082</v>
      </c>
      <c r="E30" s="11" t="n">
        <v>0</v>
      </c>
      <c r="F30" s="10" t="n">
        <f aca="false">D30+E30</f>
        <v>-934082</v>
      </c>
      <c r="G30" s="12"/>
      <c r="H30" s="13" t="s">
        <v>66</v>
      </c>
    </row>
    <row r="31" customFormat="false" ht="15" hidden="false" customHeight="false" outlineLevel="0" collapsed="false">
      <c r="A31" s="9"/>
      <c r="B31" s="2" t="s">
        <v>64</v>
      </c>
      <c r="C31" s="2" t="s">
        <v>67</v>
      </c>
      <c r="D31" s="10" t="n">
        <v>70253.48</v>
      </c>
      <c r="E31" s="11" t="n">
        <v>0</v>
      </c>
      <c r="F31" s="10" t="n">
        <f aca="false">D31+E31</f>
        <v>70253.48</v>
      </c>
      <c r="G31" s="12"/>
      <c r="H31" s="13" t="s">
        <v>68</v>
      </c>
    </row>
    <row r="32" customFormat="false" ht="15" hidden="false" customHeight="false" outlineLevel="0" collapsed="false">
      <c r="A32" s="9"/>
      <c r="B32" s="2" t="s">
        <v>64</v>
      </c>
      <c r="C32" s="2" t="s">
        <v>69</v>
      </c>
      <c r="D32" s="10" t="n">
        <v>336751.38</v>
      </c>
      <c r="E32" s="11" t="n">
        <v>0</v>
      </c>
      <c r="F32" s="10" t="n">
        <f aca="false">D32+E32</f>
        <v>336751.38</v>
      </c>
      <c r="G32" s="12"/>
      <c r="H32" s="13" t="s">
        <v>68</v>
      </c>
    </row>
    <row r="33" customFormat="false" ht="15" hidden="false" customHeight="false" outlineLevel="0" collapsed="false">
      <c r="A33" s="14"/>
      <c r="B33" s="14"/>
      <c r="C33" s="15" t="s">
        <v>70</v>
      </c>
      <c r="D33" s="16" t="n">
        <f aca="false">SUM(D30:D32)</f>
        <v>-527077.14</v>
      </c>
      <c r="E33" s="14"/>
      <c r="F33" s="16" t="n">
        <f aca="false">SUM(F30:F32)</f>
        <v>-527077.14</v>
      </c>
      <c r="G33" s="14"/>
      <c r="H33" s="14"/>
    </row>
    <row r="34" customFormat="false" ht="15" hidden="false" customHeight="false" outlineLevel="0" collapsed="false">
      <c r="A34" s="9"/>
      <c r="B34" s="2" t="s">
        <v>71</v>
      </c>
      <c r="C34" s="2" t="s">
        <v>72</v>
      </c>
      <c r="D34" s="10" t="n">
        <v>1145.16</v>
      </c>
      <c r="E34" s="11" t="n">
        <v>0</v>
      </c>
      <c r="F34" s="10" t="n">
        <f aca="false">D34+E34</f>
        <v>1145.16</v>
      </c>
      <c r="G34" s="12"/>
      <c r="H34" s="13" t="s">
        <v>73</v>
      </c>
    </row>
    <row r="35" customFormat="false" ht="15" hidden="false" customHeight="false" outlineLevel="0" collapsed="false">
      <c r="A35" s="9"/>
      <c r="B35" s="2" t="s">
        <v>71</v>
      </c>
      <c r="C35" s="2" t="s">
        <v>74</v>
      </c>
      <c r="D35" s="10" t="n">
        <v>497.2</v>
      </c>
      <c r="E35" s="11" t="n">
        <v>0</v>
      </c>
      <c r="F35" s="10" t="n">
        <f aca="false">D35+E35</f>
        <v>497.2</v>
      </c>
      <c r="G35" s="12"/>
      <c r="H35" s="13"/>
    </row>
    <row r="36" customFormat="false" ht="15" hidden="false" customHeight="false" outlineLevel="0" collapsed="false">
      <c r="A36" s="9"/>
      <c r="B36" s="2" t="s">
        <v>71</v>
      </c>
      <c r="C36" s="2" t="s">
        <v>75</v>
      </c>
      <c r="D36" s="10" t="n">
        <v>-146422.14</v>
      </c>
      <c r="E36" s="11" t="n">
        <v>0</v>
      </c>
      <c r="F36" s="10" t="n">
        <f aca="false">D36+E36</f>
        <v>-146422.14</v>
      </c>
      <c r="G36" s="12"/>
      <c r="H36" s="13" t="s">
        <v>76</v>
      </c>
    </row>
    <row r="37" customFormat="false" ht="15" hidden="false" customHeight="false" outlineLevel="0" collapsed="false">
      <c r="A37" s="9"/>
      <c r="B37" s="2" t="s">
        <v>71</v>
      </c>
      <c r="C37" s="2" t="s">
        <v>77</v>
      </c>
      <c r="D37" s="10" t="n">
        <v>-5793.44</v>
      </c>
      <c r="E37" s="11" t="n">
        <v>0</v>
      </c>
      <c r="F37" s="10" t="n">
        <f aca="false">D37+E37</f>
        <v>-5793.44</v>
      </c>
      <c r="G37" s="12"/>
      <c r="H37" s="13"/>
    </row>
    <row r="38" customFormat="false" ht="15" hidden="false" customHeight="false" outlineLevel="0" collapsed="false">
      <c r="A38" s="9"/>
      <c r="B38" s="2" t="s">
        <v>71</v>
      </c>
      <c r="C38" s="2" t="s">
        <v>78</v>
      </c>
      <c r="D38" s="10" t="n">
        <v>1650.06</v>
      </c>
      <c r="E38" s="11" t="n">
        <v>0</v>
      </c>
      <c r="F38" s="10" t="n">
        <f aca="false">D38+E38</f>
        <v>1650.06</v>
      </c>
      <c r="G38" s="12"/>
      <c r="H38" s="13"/>
    </row>
    <row r="39" customFormat="false" ht="22.35" hidden="false" customHeight="false" outlineLevel="0" collapsed="false">
      <c r="A39" s="9"/>
      <c r="B39" s="2" t="s">
        <v>71</v>
      </c>
      <c r="C39" s="2" t="s">
        <v>79</v>
      </c>
      <c r="D39" s="10" t="n">
        <v>-8270020.28</v>
      </c>
      <c r="E39" s="11" t="n">
        <v>0</v>
      </c>
      <c r="F39" s="10" t="n">
        <f aca="false">D39+E39</f>
        <v>-8270020.28</v>
      </c>
      <c r="G39" s="12"/>
      <c r="H39" s="13" t="s">
        <v>80</v>
      </c>
    </row>
    <row r="40" customFormat="false" ht="15" hidden="false" customHeight="false" outlineLevel="0" collapsed="false">
      <c r="A40" s="9"/>
      <c r="B40" s="2" t="s">
        <v>71</v>
      </c>
      <c r="C40" s="2" t="s">
        <v>81</v>
      </c>
      <c r="D40" s="10" t="n">
        <v>67.32</v>
      </c>
      <c r="E40" s="11" t="n">
        <v>0</v>
      </c>
      <c r="F40" s="10" t="n">
        <f aca="false">D40+E40</f>
        <v>67.32</v>
      </c>
      <c r="G40" s="12"/>
      <c r="H40" s="13" t="s">
        <v>82</v>
      </c>
    </row>
    <row r="41" customFormat="false" ht="15" hidden="false" customHeight="false" outlineLevel="0" collapsed="false">
      <c r="A41" s="14"/>
      <c r="B41" s="14"/>
      <c r="C41" s="15" t="s">
        <v>83</v>
      </c>
      <c r="D41" s="16" t="n">
        <f aca="false">SUM(D34:D40)</f>
        <v>-8418876.12</v>
      </c>
      <c r="E41" s="14"/>
      <c r="F41" s="16" t="n">
        <f aca="false">SUM(F34:F40)</f>
        <v>-8418876.12</v>
      </c>
      <c r="G41" s="14"/>
      <c r="H41" s="14"/>
    </row>
    <row r="42" customFormat="false" ht="15" hidden="false" customHeight="false" outlineLevel="0" collapsed="false">
      <c r="A42" s="17"/>
      <c r="B42" s="17"/>
      <c r="C42" s="18" t="s">
        <v>84</v>
      </c>
      <c r="D42" s="19" t="n">
        <f aca="false">D29+D33+D41</f>
        <v>-8341137.38</v>
      </c>
      <c r="E42" s="17"/>
      <c r="F42" s="19" t="n">
        <f aca="false">F29+F33+F41</f>
        <v>-8341137.38</v>
      </c>
      <c r="G42" s="17"/>
      <c r="H42" s="17"/>
    </row>
    <row r="44" customFormat="false" ht="15" hidden="false" customHeight="false" outlineLevel="0" collapsed="false">
      <c r="A44" s="7" t="s">
        <v>85</v>
      </c>
      <c r="B44" s="8"/>
      <c r="C44" s="8"/>
      <c r="D44" s="8"/>
      <c r="E44" s="8"/>
      <c r="F44" s="8"/>
      <c r="G44" s="8"/>
      <c r="H44" s="8"/>
    </row>
    <row r="45" customFormat="false" ht="15" hidden="false" customHeight="false" outlineLevel="0" collapsed="false">
      <c r="A45" s="9"/>
      <c r="B45" s="2" t="s">
        <v>86</v>
      </c>
      <c r="C45" s="2" t="s">
        <v>87</v>
      </c>
      <c r="D45" s="10" t="n">
        <v>782213.77</v>
      </c>
      <c r="E45" s="11" t="n">
        <v>0</v>
      </c>
      <c r="F45" s="10" t="n">
        <f aca="false">D45+E45</f>
        <v>782213.77</v>
      </c>
      <c r="G45" s="12"/>
      <c r="H45" s="13"/>
    </row>
    <row r="46" customFormat="false" ht="15" hidden="false" customHeight="false" outlineLevel="0" collapsed="false">
      <c r="A46" s="14"/>
      <c r="B46" s="14"/>
      <c r="C46" s="15" t="s">
        <v>88</v>
      </c>
      <c r="D46" s="16" t="n">
        <f aca="false">SUM(D45:D45)</f>
        <v>782213.77</v>
      </c>
      <c r="E46" s="14"/>
      <c r="F46" s="16" t="n">
        <f aca="false">SUM(F45:F45)</f>
        <v>782213.77</v>
      </c>
      <c r="G46" s="14"/>
      <c r="H46" s="14"/>
    </row>
    <row r="47" customFormat="false" ht="15" hidden="false" customHeight="false" outlineLevel="0" collapsed="false">
      <c r="A47" s="9"/>
      <c r="B47" s="2" t="s">
        <v>89</v>
      </c>
      <c r="C47" s="2" t="s">
        <v>90</v>
      </c>
      <c r="D47" s="10" t="n">
        <v>-13250</v>
      </c>
      <c r="E47" s="11" t="n">
        <v>0</v>
      </c>
      <c r="F47" s="10" t="n">
        <f aca="false">D47+E47</f>
        <v>-13250</v>
      </c>
      <c r="G47" s="12"/>
      <c r="H47" s="13" t="s">
        <v>91</v>
      </c>
    </row>
    <row r="48" customFormat="false" ht="15" hidden="false" customHeight="false" outlineLevel="0" collapsed="false">
      <c r="A48" s="9"/>
      <c r="B48" s="2" t="s">
        <v>89</v>
      </c>
      <c r="C48" s="2" t="s">
        <v>92</v>
      </c>
      <c r="D48" s="10" t="n">
        <v>66814.76</v>
      </c>
      <c r="E48" s="11" t="n">
        <v>0</v>
      </c>
      <c r="F48" s="10" t="n">
        <f aca="false">D48+E48</f>
        <v>66814.76</v>
      </c>
      <c r="G48" s="12"/>
      <c r="H48" s="13"/>
    </row>
    <row r="49" customFormat="false" ht="15" hidden="false" customHeight="false" outlineLevel="0" collapsed="false">
      <c r="A49" s="9"/>
      <c r="B49" s="2" t="s">
        <v>89</v>
      </c>
      <c r="C49" s="2" t="s">
        <v>93</v>
      </c>
      <c r="D49" s="10" t="n">
        <v>1897.74</v>
      </c>
      <c r="E49" s="11" t="n">
        <v>0</v>
      </c>
      <c r="F49" s="10" t="n">
        <f aca="false">D49+E49</f>
        <v>1897.74</v>
      </c>
      <c r="G49" s="12"/>
      <c r="H49" s="13"/>
    </row>
    <row r="50" customFormat="false" ht="15" hidden="false" customHeight="false" outlineLevel="0" collapsed="false">
      <c r="A50" s="9"/>
      <c r="B50" s="2" t="s">
        <v>89</v>
      </c>
      <c r="C50" s="2" t="s">
        <v>94</v>
      </c>
      <c r="D50" s="10" t="n">
        <v>-112495.56</v>
      </c>
      <c r="E50" s="11" t="n">
        <v>0</v>
      </c>
      <c r="F50" s="10" t="n">
        <f aca="false">D50+E50</f>
        <v>-112495.56</v>
      </c>
      <c r="G50" s="12"/>
      <c r="H50" s="13" t="s">
        <v>95</v>
      </c>
    </row>
    <row r="51" customFormat="false" ht="15" hidden="false" customHeight="false" outlineLevel="0" collapsed="false">
      <c r="A51" s="9"/>
      <c r="B51" s="2" t="s">
        <v>89</v>
      </c>
      <c r="C51" s="2" t="s">
        <v>96</v>
      </c>
      <c r="D51" s="10" t="n">
        <v>26733.21</v>
      </c>
      <c r="E51" s="11" t="n">
        <v>0</v>
      </c>
      <c r="F51" s="10" t="n">
        <f aca="false">D51+E51</f>
        <v>26733.21</v>
      </c>
      <c r="G51" s="12"/>
      <c r="H51" s="13"/>
    </row>
    <row r="52" customFormat="false" ht="15" hidden="false" customHeight="false" outlineLevel="0" collapsed="false">
      <c r="A52" s="14"/>
      <c r="B52" s="14"/>
      <c r="C52" s="15" t="s">
        <v>97</v>
      </c>
      <c r="D52" s="16" t="n">
        <f aca="false">SUM(D47:D51)</f>
        <v>-30299.85</v>
      </c>
      <c r="E52" s="14"/>
      <c r="F52" s="16" t="n">
        <f aca="false">SUM(F47:F51)</f>
        <v>-30299.85</v>
      </c>
      <c r="G52" s="14"/>
      <c r="H52" s="14"/>
    </row>
    <row r="53" customFormat="false" ht="15" hidden="false" customHeight="false" outlineLevel="0" collapsed="false">
      <c r="A53" s="9"/>
      <c r="B53" s="2" t="s">
        <v>98</v>
      </c>
      <c r="C53" s="2" t="s">
        <v>99</v>
      </c>
      <c r="D53" s="10" t="n">
        <v>96800</v>
      </c>
      <c r="E53" s="11" t="n">
        <v>0</v>
      </c>
      <c r="F53" s="10" t="n">
        <f aca="false">D53+E53</f>
        <v>96800</v>
      </c>
      <c r="G53" s="12"/>
      <c r="H53" s="13" t="s">
        <v>100</v>
      </c>
    </row>
    <row r="54" customFormat="false" ht="15" hidden="false" customHeight="false" outlineLevel="0" collapsed="false">
      <c r="A54" s="9"/>
      <c r="B54" s="2" t="s">
        <v>98</v>
      </c>
      <c r="C54" s="2" t="s">
        <v>101</v>
      </c>
      <c r="D54" s="10" t="n">
        <v>-23275.21</v>
      </c>
      <c r="E54" s="11" t="n">
        <v>0</v>
      </c>
      <c r="F54" s="10" t="n">
        <f aca="false">D54+E54</f>
        <v>-23275.21</v>
      </c>
      <c r="G54" s="12"/>
      <c r="H54" s="13" t="s">
        <v>102</v>
      </c>
    </row>
    <row r="55" customFormat="false" ht="15" hidden="false" customHeight="false" outlineLevel="0" collapsed="false">
      <c r="A55" s="9"/>
      <c r="B55" s="2" t="s">
        <v>98</v>
      </c>
      <c r="C55" s="2" t="s">
        <v>103</v>
      </c>
      <c r="D55" s="10" t="n">
        <v>617377.25</v>
      </c>
      <c r="E55" s="11" t="n">
        <v>0</v>
      </c>
      <c r="F55" s="10" t="n">
        <f aca="false">D55+E55</f>
        <v>617377.25</v>
      </c>
      <c r="G55" s="12"/>
      <c r="H55" s="13" t="s">
        <v>104</v>
      </c>
    </row>
    <row r="56" customFormat="false" ht="15" hidden="false" customHeight="false" outlineLevel="0" collapsed="false">
      <c r="A56" s="9"/>
      <c r="B56" s="2" t="s">
        <v>98</v>
      </c>
      <c r="C56" s="2" t="s">
        <v>105</v>
      </c>
      <c r="D56" s="10" t="n">
        <v>80748.76</v>
      </c>
      <c r="E56" s="11" t="n">
        <v>0</v>
      </c>
      <c r="F56" s="10" t="n">
        <f aca="false">D56+E56</f>
        <v>80748.76</v>
      </c>
      <c r="G56" s="12"/>
      <c r="H56" s="13" t="s">
        <v>106</v>
      </c>
    </row>
    <row r="57" customFormat="false" ht="15" hidden="false" customHeight="false" outlineLevel="0" collapsed="false">
      <c r="A57" s="9"/>
      <c r="B57" s="2" t="s">
        <v>98</v>
      </c>
      <c r="C57" s="2" t="s">
        <v>107</v>
      </c>
      <c r="D57" s="10" t="n">
        <v>-190725.98</v>
      </c>
      <c r="E57" s="11" t="n">
        <v>0</v>
      </c>
      <c r="F57" s="10" t="n">
        <f aca="false">D57+E57</f>
        <v>-190725.98</v>
      </c>
      <c r="G57" s="12"/>
      <c r="H57" s="13" t="s">
        <v>108</v>
      </c>
    </row>
    <row r="58" customFormat="false" ht="15" hidden="false" customHeight="false" outlineLevel="0" collapsed="false">
      <c r="A58" s="9"/>
      <c r="B58" s="2" t="s">
        <v>98</v>
      </c>
      <c r="C58" s="2" t="s">
        <v>109</v>
      </c>
      <c r="D58" s="10" t="n">
        <v>0</v>
      </c>
      <c r="E58" s="11" t="n">
        <v>0</v>
      </c>
      <c r="F58" s="10" t="n">
        <f aca="false">D58+E58</f>
        <v>0</v>
      </c>
      <c r="G58" s="12"/>
      <c r="H58" s="13"/>
    </row>
    <row r="59" customFormat="false" ht="15" hidden="false" customHeight="false" outlineLevel="0" collapsed="false">
      <c r="A59" s="9"/>
      <c r="B59" s="2" t="s">
        <v>98</v>
      </c>
      <c r="C59" s="2" t="s">
        <v>110</v>
      </c>
      <c r="D59" s="10" t="n">
        <v>0</v>
      </c>
      <c r="E59" s="11" t="n">
        <v>0</v>
      </c>
      <c r="F59" s="10" t="n">
        <f aca="false">D59+E59</f>
        <v>0</v>
      </c>
      <c r="G59" s="12"/>
      <c r="H59" s="13"/>
    </row>
    <row r="60" customFormat="false" ht="15" hidden="false" customHeight="false" outlineLevel="0" collapsed="false">
      <c r="A60" s="9"/>
      <c r="B60" s="2" t="s">
        <v>98</v>
      </c>
      <c r="C60" s="2" t="s">
        <v>111</v>
      </c>
      <c r="D60" s="10" t="n">
        <v>0</v>
      </c>
      <c r="E60" s="11" t="n">
        <v>0</v>
      </c>
      <c r="F60" s="10" t="n">
        <f aca="false">D60+E60</f>
        <v>0</v>
      </c>
      <c r="G60" s="12"/>
      <c r="H60" s="13"/>
    </row>
    <row r="61" customFormat="false" ht="15" hidden="false" customHeight="false" outlineLevel="0" collapsed="false">
      <c r="A61" s="9"/>
      <c r="B61" s="2" t="s">
        <v>98</v>
      </c>
      <c r="C61" s="2" t="s">
        <v>112</v>
      </c>
      <c r="D61" s="10" t="n">
        <v>0</v>
      </c>
      <c r="E61" s="11" t="n">
        <v>0</v>
      </c>
      <c r="F61" s="10" t="n">
        <f aca="false">D61+E61</f>
        <v>0</v>
      </c>
      <c r="G61" s="12"/>
      <c r="H61" s="13"/>
    </row>
    <row r="62" customFormat="false" ht="15" hidden="false" customHeight="false" outlineLevel="0" collapsed="false">
      <c r="A62" s="9"/>
      <c r="B62" s="2" t="s">
        <v>98</v>
      </c>
      <c r="C62" s="2" t="s">
        <v>113</v>
      </c>
      <c r="D62" s="10" t="n">
        <v>-3192.46</v>
      </c>
      <c r="E62" s="11" t="n">
        <v>0</v>
      </c>
      <c r="F62" s="10" t="n">
        <f aca="false">D62+E62</f>
        <v>-3192.46</v>
      </c>
      <c r="G62" s="12"/>
      <c r="H62" s="13" t="s">
        <v>114</v>
      </c>
    </row>
    <row r="63" customFormat="false" ht="15" hidden="false" customHeight="false" outlineLevel="0" collapsed="false">
      <c r="A63" s="9"/>
      <c r="B63" s="2" t="s">
        <v>98</v>
      </c>
      <c r="C63" s="2" t="s">
        <v>115</v>
      </c>
      <c r="D63" s="10" t="n">
        <v>163.25</v>
      </c>
      <c r="E63" s="11" t="n">
        <v>0</v>
      </c>
      <c r="F63" s="10" t="n">
        <f aca="false">D63+E63</f>
        <v>163.25</v>
      </c>
      <c r="G63" s="12"/>
      <c r="H63" s="13" t="s">
        <v>114</v>
      </c>
    </row>
    <row r="64" customFormat="false" ht="15" hidden="false" customHeight="false" outlineLevel="0" collapsed="false">
      <c r="A64" s="9"/>
      <c r="B64" s="2" t="s">
        <v>98</v>
      </c>
      <c r="C64" s="2" t="s">
        <v>116</v>
      </c>
      <c r="D64" s="10" t="n">
        <v>913.03</v>
      </c>
      <c r="E64" s="11" t="n">
        <v>0</v>
      </c>
      <c r="F64" s="10" t="n">
        <f aca="false">D64+E64</f>
        <v>913.03</v>
      </c>
      <c r="G64" s="12"/>
      <c r="H64" s="13" t="s">
        <v>114</v>
      </c>
    </row>
    <row r="65" customFormat="false" ht="15" hidden="false" customHeight="false" outlineLevel="0" collapsed="false">
      <c r="A65" s="9"/>
      <c r="B65" s="2" t="s">
        <v>98</v>
      </c>
      <c r="C65" s="2" t="s">
        <v>117</v>
      </c>
      <c r="D65" s="10" t="n">
        <v>-50.2</v>
      </c>
      <c r="E65" s="11" t="n">
        <v>0</v>
      </c>
      <c r="F65" s="10" t="n">
        <f aca="false">D65+E65</f>
        <v>-50.2</v>
      </c>
      <c r="G65" s="12"/>
      <c r="H65" s="13" t="s">
        <v>118</v>
      </c>
    </row>
    <row r="66" customFormat="false" ht="15" hidden="false" customHeight="false" outlineLevel="0" collapsed="false">
      <c r="A66" s="14"/>
      <c r="B66" s="14"/>
      <c r="C66" s="15" t="s">
        <v>119</v>
      </c>
      <c r="D66" s="16" t="n">
        <f aca="false">SUM(D53:D65)</f>
        <v>578758.44</v>
      </c>
      <c r="E66" s="14"/>
      <c r="F66" s="16" t="n">
        <f aca="false">SUM(F53:F65)</f>
        <v>578758.44</v>
      </c>
      <c r="G66" s="14"/>
      <c r="H66" s="14"/>
    </row>
    <row r="67" customFormat="false" ht="15" hidden="false" customHeight="false" outlineLevel="0" collapsed="false">
      <c r="A67" s="9"/>
      <c r="B67" s="2" t="s">
        <v>120</v>
      </c>
      <c r="C67" s="2" t="s">
        <v>121</v>
      </c>
      <c r="D67" s="10" t="n">
        <v>4518.84</v>
      </c>
      <c r="E67" s="11" t="n">
        <v>0</v>
      </c>
      <c r="F67" s="10" t="n">
        <f aca="false">D67+E67</f>
        <v>4518.84</v>
      </c>
      <c r="G67" s="12"/>
      <c r="H67" s="13" t="s">
        <v>122</v>
      </c>
    </row>
    <row r="68" customFormat="false" ht="15" hidden="false" customHeight="false" outlineLevel="0" collapsed="false">
      <c r="A68" s="9"/>
      <c r="B68" s="2" t="s">
        <v>120</v>
      </c>
      <c r="C68" s="2" t="s">
        <v>123</v>
      </c>
      <c r="D68" s="10" t="n">
        <v>5810</v>
      </c>
      <c r="E68" s="11" t="n">
        <v>0</v>
      </c>
      <c r="F68" s="10" t="n">
        <f aca="false">D68+E68</f>
        <v>5810</v>
      </c>
      <c r="G68" s="12"/>
      <c r="H68" s="13" t="s">
        <v>122</v>
      </c>
    </row>
    <row r="69" customFormat="false" ht="15" hidden="false" customHeight="false" outlineLevel="0" collapsed="false">
      <c r="A69" s="9"/>
      <c r="B69" s="2" t="s">
        <v>120</v>
      </c>
      <c r="C69" s="2" t="s">
        <v>124</v>
      </c>
      <c r="D69" s="10" t="n">
        <v>40</v>
      </c>
      <c r="E69" s="11" t="n">
        <v>0</v>
      </c>
      <c r="F69" s="10" t="n">
        <f aca="false">D69+E69</f>
        <v>40</v>
      </c>
      <c r="G69" s="12"/>
      <c r="H69" s="13"/>
    </row>
    <row r="70" customFormat="false" ht="15" hidden="false" customHeight="false" outlineLevel="0" collapsed="false">
      <c r="A70" s="9"/>
      <c r="B70" s="2" t="s">
        <v>120</v>
      </c>
      <c r="C70" s="2" t="s">
        <v>125</v>
      </c>
      <c r="D70" s="10" t="n">
        <v>-8684.51</v>
      </c>
      <c r="E70" s="11" t="n">
        <v>0</v>
      </c>
      <c r="F70" s="10" t="n">
        <f aca="false">D70+E70</f>
        <v>-8684.51</v>
      </c>
      <c r="G70" s="12"/>
      <c r="H70" s="13" t="s">
        <v>126</v>
      </c>
    </row>
    <row r="71" customFormat="false" ht="15" hidden="false" customHeight="false" outlineLevel="0" collapsed="false">
      <c r="A71" s="14"/>
      <c r="B71" s="14"/>
      <c r="C71" s="15" t="s">
        <v>127</v>
      </c>
      <c r="D71" s="16" t="n">
        <f aca="false">SUM(D67:D70)</f>
        <v>1684.33</v>
      </c>
      <c r="E71" s="14"/>
      <c r="F71" s="16" t="n">
        <f aca="false">SUM(F67:F70)</f>
        <v>1684.33</v>
      </c>
      <c r="G71" s="14"/>
      <c r="H71" s="14"/>
    </row>
    <row r="72" customFormat="false" ht="15" hidden="false" customHeight="false" outlineLevel="0" collapsed="false">
      <c r="A72" s="17"/>
      <c r="B72" s="17"/>
      <c r="C72" s="18" t="s">
        <v>128</v>
      </c>
      <c r="D72" s="19" t="n">
        <f aca="false">D46+D52+D66+D71</f>
        <v>1332356.69</v>
      </c>
      <c r="E72" s="17"/>
      <c r="F72" s="19" t="n">
        <f aca="false">F46+F52+F66+F71</f>
        <v>1332356.69</v>
      </c>
      <c r="G72" s="17"/>
      <c r="H72" s="17"/>
    </row>
    <row r="74" customFormat="false" ht="15" hidden="false" customHeight="false" outlineLevel="0" collapsed="false">
      <c r="A74" s="7" t="s">
        <v>129</v>
      </c>
      <c r="B74" s="8"/>
      <c r="C74" s="8"/>
      <c r="D74" s="8"/>
      <c r="E74" s="8"/>
      <c r="F74" s="8"/>
      <c r="G74" s="8"/>
      <c r="H74" s="8"/>
    </row>
    <row r="75" customFormat="false" ht="15" hidden="false" customHeight="false" outlineLevel="0" collapsed="false">
      <c r="A75" s="9"/>
      <c r="B75" s="2" t="s">
        <v>130</v>
      </c>
      <c r="C75" s="2" t="s">
        <v>131</v>
      </c>
      <c r="D75" s="10" t="n">
        <v>0</v>
      </c>
      <c r="E75" s="11" t="n">
        <v>0</v>
      </c>
      <c r="F75" s="10" t="n">
        <f aca="false">D75+E75</f>
        <v>0</v>
      </c>
      <c r="G75" s="12"/>
      <c r="H75" s="13" t="s">
        <v>132</v>
      </c>
    </row>
    <row r="76" customFormat="false" ht="15" hidden="false" customHeight="false" outlineLevel="0" collapsed="false">
      <c r="A76" s="9"/>
      <c r="B76" s="2" t="s">
        <v>130</v>
      </c>
      <c r="C76" s="2" t="s">
        <v>133</v>
      </c>
      <c r="D76" s="10" t="n">
        <v>-8610007.42</v>
      </c>
      <c r="E76" s="11" t="n">
        <v>0</v>
      </c>
      <c r="F76" s="10" t="n">
        <f aca="false">D76+E76</f>
        <v>-8610007.42</v>
      </c>
      <c r="G76" s="12"/>
      <c r="H76" s="13" t="s">
        <v>134</v>
      </c>
    </row>
    <row r="77" customFormat="false" ht="15" hidden="false" customHeight="false" outlineLevel="0" collapsed="false">
      <c r="A77" s="9"/>
      <c r="B77" s="2" t="s">
        <v>130</v>
      </c>
      <c r="C77" s="2" t="s">
        <v>135</v>
      </c>
      <c r="D77" s="10" t="n">
        <v>-1063486.65</v>
      </c>
      <c r="E77" s="11" t="n">
        <v>0</v>
      </c>
      <c r="F77" s="10" t="n">
        <f aca="false">D77+E77</f>
        <v>-1063486.65</v>
      </c>
      <c r="G77" s="12"/>
      <c r="H77" s="13" t="s">
        <v>136</v>
      </c>
    </row>
    <row r="78" customFormat="false" ht="15" hidden="false" customHeight="false" outlineLevel="0" collapsed="false">
      <c r="A78" s="14"/>
      <c r="B78" s="14"/>
      <c r="C78" s="15" t="s">
        <v>137</v>
      </c>
      <c r="D78" s="16" t="n">
        <f aca="false">SUM(D75:D77)</f>
        <v>-9673494.07</v>
      </c>
      <c r="E78" s="14"/>
      <c r="F78" s="16" t="n">
        <f aca="false">SUM(F75:F77)</f>
        <v>-9673494.07</v>
      </c>
      <c r="G78" s="14"/>
      <c r="H78" s="14"/>
    </row>
    <row r="79" customFormat="false" ht="15" hidden="false" customHeight="false" outlineLevel="0" collapsed="false">
      <c r="A79" s="17"/>
      <c r="B79" s="17"/>
      <c r="C79" s="18" t="s">
        <v>138</v>
      </c>
      <c r="D79" s="19" t="n">
        <f aca="false">D78</f>
        <v>-9673494.07</v>
      </c>
      <c r="E79" s="17"/>
      <c r="F79" s="19" t="n">
        <f aca="false">F78</f>
        <v>-9673494.07</v>
      </c>
      <c r="G79" s="17"/>
      <c r="H79" s="17"/>
    </row>
    <row r="81" customFormat="false" ht="15" hidden="false" customHeight="false" outlineLevel="0" collapsed="false">
      <c r="A81" s="20"/>
      <c r="B81" s="20"/>
      <c r="C81" s="21" t="s">
        <v>139</v>
      </c>
      <c r="D81" s="22" t="n">
        <f aca="false">D42-(D72+D79)</f>
        <v>0</v>
      </c>
      <c r="E81" s="20"/>
      <c r="F81" s="22" t="n">
        <f aca="false">F42-(F72+F79)</f>
        <v>0</v>
      </c>
      <c r="G81" s="20"/>
      <c r="H81" s="20"/>
    </row>
    <row r="82" customFormat="false" ht="15" hidden="false" customHeight="false" outlineLevel="0" collapsed="false">
      <c r="C82" s="5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60"/>
  </cols>
  <sheetData>
    <row r="1" customFormat="false" ht="16.1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3" customFormat="false" ht="15" hidden="false" customHeight="false" outlineLevel="0" collapsed="false">
      <c r="A3" s="4" t="s">
        <v>24</v>
      </c>
    </row>
    <row r="4" customFormat="false" ht="15" hidden="false" customHeight="false" outlineLevel="0" collapsed="false">
      <c r="A4" s="5" t="s">
        <v>25</v>
      </c>
    </row>
    <row r="6" customFormat="false" ht="30" hidden="false" customHeight="true" outlineLevel="0" collapsed="false">
      <c r="A6" s="6" t="s">
        <v>26</v>
      </c>
      <c r="B6" s="6" t="s">
        <v>27</v>
      </c>
      <c r="C6" s="6" t="s">
        <v>28</v>
      </c>
      <c r="D6" s="6" t="s">
        <v>29</v>
      </c>
      <c r="E6" s="6" t="s">
        <v>30</v>
      </c>
      <c r="F6" s="6" t="s">
        <v>31</v>
      </c>
      <c r="G6" s="6" t="s">
        <v>32</v>
      </c>
      <c r="H6" s="6" t="s">
        <v>33</v>
      </c>
    </row>
    <row r="7" customFormat="false" ht="15" hidden="false" customHeight="false" outlineLevel="0" collapsed="false">
      <c r="A7" s="23" t="s">
        <v>143</v>
      </c>
    </row>
    <row r="8" customFormat="false" ht="15" hidden="false" customHeight="false" outlineLevel="0" collapsed="false">
      <c r="A8" s="24" t="s">
        <v>144</v>
      </c>
      <c r="B8" s="24"/>
      <c r="C8" s="24"/>
      <c r="D8" s="24"/>
      <c r="E8" s="24"/>
      <c r="F8" s="24"/>
      <c r="G8" s="24"/>
      <c r="H8" s="24"/>
    </row>
  </sheetData>
  <mergeCells count="1"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2026-07-28T21:51:06Z</dcterms:created>
  <dc:creator>openpyxl</dc:creator>
  <dc:description/>
  <dc:language>en-US</dc:language>
  <cp:lastModifiedBy/>
  <dcterms:modified xsi:type="dcterms:W3CDTF">2026-07-28T21:51:06Z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