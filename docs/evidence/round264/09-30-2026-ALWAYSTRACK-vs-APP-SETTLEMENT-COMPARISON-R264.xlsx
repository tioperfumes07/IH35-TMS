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NY SETTLEMENTS" sheetId="1" state="visible" r:id="rId3"/>
    <sheet name="DRIVER SETTLEMENTS" sheetId="2" state="visible" r:id="rId4"/>
  </sheets>
  <definedNames>
    <definedName function="false" hidden="true" localSheetId="0" name="_xlnm._FilterDatabase" vbProcedure="false">'COMPANY SETTLEMENTS'!$A$1:$N$1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C2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ROUND 268: settlement marker measures NET PAY only. Other displayed field differences remain visible; green is not a claim that every field matches.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<sst xmlns="http://schemas.openxmlformats.org/spreadsheetml/2006/main" count="10088" uniqueCount="1167">
  <si>
    <t xml:space="preserve">AlwaysTrack settlement #</t>
  </si>
  <si>
    <t xml:space="preserve">App settlement #</t>
  </si>
  <si>
    <t xml:space="preserve">Match</t>
  </si>
  <si>
    <t xml:space="preserve">AlwaysTrack concept</t>
  </si>
  <si>
    <t xml:space="preserve">AlwaysTrack amount</t>
  </si>
  <si>
    <t xml:space="preserve">App concept</t>
  </si>
  <si>
    <t xml:space="preserve">App amount</t>
  </si>
  <si>
    <t xml:space="preserve">Magnitude difference (App − AT)</t>
  </si>
  <si>
    <t xml:space="preserve">Load / scope</t>
  </si>
  <si>
    <t xml:space="preserve">Class / reason</t>
  </si>
  <si>
    <t xml:space="preserve">AlwaysTrack-only load</t>
  </si>
  <si>
    <t xml:space="preserve">PDF source / allocation evidence</t>
  </si>
  <si>
    <t xml:space="preserve">App source IDs</t>
  </si>
  <si>
    <t xml:space="preserve">Notes</t>
  </si>
  <si>
    <t xml:space="preserve">5769</t>
  </si>
  <si>
    <t xml:space="preserve">✓</t>
  </si>
  <si>
    <t xml:space="preserve">line haul</t>
  </si>
  <si>
    <t xml:space="preserve">SETTLEMENT TOTAL</t>
  </si>
  <si>
    <t xml:space="preserve">Wrong-load-split; Genuine differences</t>
  </si>
  <si>
    <t xml:space="preserve">/Users/jorgemunoz/Downloads/IH35-MASTER-RECONCILIATION/03-SETTLEMENTS/company-pdf/Company_Settlement_5769.pdf</t>
  </si>
  <si>
    <t xml:space="preserve">46f34adc-ae95-4b39-ac60-72dcd5b1f153</t>
  </si>
  <si>
    <t xml:space="preserve">driver pay</t>
  </si>
  <si>
    <t xml:space="preserve">extra pay</t>
  </si>
  <si>
    <t xml:space="preserve">Comparable payment group = additional pay + reimbursed expenses. AT reimbursement amounts are printed Drv; App reads extra_pay, detention_pay and reimbursement rows. Reimbursements remain expense costs only once.</t>
  </si>
  <si>
    <t xml:space="preserve">fuel</t>
  </si>
  <si>
    <t xml:space="preserve">expenses</t>
  </si>
  <si>
    <t xml:space="preserve">repairs</t>
  </si>
  <si>
    <t xml:space="preserve">Subset of expenses, excluded from grand variance summation; includes windshield repair. No new expense added.</t>
  </si>
  <si>
    <t xml:space="preserve">✕</t>
  </si>
  <si>
    <t xml:space="preserve">margin</t>
  </si>
  <si>
    <t xml:space="preserve">Actual deployed company report service result; signed amount preserved. Column H follows requested absolute-value comparison. Report separately gives signed profit/loss variance.</t>
  </si>
  <si>
    <t xml:space="preserve">13498</t>
  </si>
  <si>
    <t xml:space="preserve">/Users/jorgemunoz/Downloads/IH35-MASTER-RECONCILIATION/03-SETTLEMENTS/company-pdf/Company_Settlement_5769.pdf; explicit load header</t>
  </si>
  <si>
    <t xml:space="preserve">5ed49823-a291-4afa-a5f9-e25a31fd88c2</t>
  </si>
  <si>
    <t xml:space="preserve">37b7c3d6-e75b-4ea6-81f0-0048978c0eb0, 19302521-3cae-47c1-8f07-b56f43b0d4dc</t>
  </si>
  <si>
    <t xml:space="preserve">/Users/jorgemunoz/Downloads/IH35-MASTER-RECONCILIATION/03-SETTLEMENTS/company-pdf/Company_Settlement_5769.pdf; </t>
  </si>
  <si>
    <t xml:space="preserve">c222249d-f482-494c-93bc-b0635de86770</t>
  </si>
  <si>
    <t xml:space="preserve">—</t>
  </si>
  <si>
    <t xml:space="preserve">Only settlement margin is published</t>
  </si>
  <si>
    <t xml:space="preserve">PDF and app report publish settlement-level margin only.</t>
  </si>
  <si>
    <t xml:space="preserve">A per-load margin cannot be asserted while source expenses remain unallocated. No allocation or substitute value is invented.</t>
  </si>
  <si>
    <t xml:space="preserve">13508</t>
  </si>
  <si>
    <t xml:space="preserve">707b67b8-1668-4665-9109-eb70f3fef491</t>
  </si>
  <si>
    <t xml:space="preserve">b5926c46-7261-495d-9409-fdf08923068b, 381adef2-583e-4f37-a625-36b4e64f6861</t>
  </si>
  <si>
    <t xml:space="preserve">b3147650-9827-4022-a771-54228e87772b, f7f91bde-ab2c-4caa-9aaf-64e1a6521fc0</t>
  </si>
  <si>
    <t xml:space="preserve">Wrong-load-split</t>
  </si>
  <si>
    <t xml:space="preserve">/Users/jorgemunoz/Downloads/IH35-MASTER-RECONCILIATION/03-SETTLEMENTS/company-pdf/Company_Settlement_5769.pdf; unique date/vendor/receipt joins PDF fuel row</t>
  </si>
  <si>
    <t xml:space="preserve">SUMMARY</t>
  </si>
  <si>
    <t xml:space="preserve">App report margin 2,452.36; AT margin 3,684.42; signed variance -1,232.06 | At least $67.84 allocated to the wrong load; settlement expense total agrees.</t>
  </si>
  <si>
    <t xml:space="preserve">SETTLEMENT SUMMARY</t>
  </si>
  <si>
    <t xml:space="preserve">Transaction differences: {}</t>
  </si>
  <si>
    <t xml:space="preserve">5770</t>
  </si>
  <si>
    <t xml:space="preserve">/Users/jorgemunoz/Downloads/IH35-MASTER-RECONCILIATION/03-SETTLEMENTS/company-pdf/Company_Settlement_5770.pdf</t>
  </si>
  <si>
    <t xml:space="preserve">2efbd5a1-7ded-4ee2-be40-f3ad8144819e</t>
  </si>
  <si>
    <t xml:space="preserve">13503</t>
  </si>
  <si>
    <t xml:space="preserve">/Users/jorgemunoz/Downloads/IH35-MASTER-RECONCILIATION/03-SETTLEMENTS/company-pdf/Company_Settlement_5770.pdf; explicit load header</t>
  </si>
  <si>
    <t xml:space="preserve">965e18a9-c2fc-4f18-be36-b79eab2ee00e</t>
  </si>
  <si>
    <t xml:space="preserve">67309056-93da-4a79-83b0-ba31af664d84, 2eff0791-224f-4fa9-a865-489e50f5eff6</t>
  </si>
  <si>
    <t xml:space="preserve">/Users/jorgemunoz/Downloads/IH35-MASTER-RECONCILIATION/03-SETTLEMENTS/company-pdf/Company_Settlement_5770.pdf; explicit driver PDF load</t>
  </si>
  <si>
    <t xml:space="preserve">a7324a1b-bb39-459b-abf8-78c2da3f4164</t>
  </si>
  <si>
    <t xml:space="preserve">2dbd3777-6d29-4bee-b08a-ede3836590c2, ffc5bfbc-4f2d-4a34-9c69-4a75a2fc9262, ead7097e-9073-4353-8329-8f1a93d9e858</t>
  </si>
  <si>
    <t xml:space="preserve">/Users/jorgemunoz/Downloads/IH35-MASTER-RECONCILIATION/03-SETTLEMENTS/company-pdf/Company_Settlement_5770.pdf; unique date/vendor/receipt joins PDF fuel row</t>
  </si>
  <si>
    <t xml:space="preserve">AT amount is the supported lower bound from unique PDF receipt/date/vendor links. Other PDF expense rows have no load printed. App amount includes all documents on this load.</t>
  </si>
  <si>
    <t xml:space="preserve">13509</t>
  </si>
  <si>
    <t xml:space="preserve">9b924768-6561-49fa-84a3-9c40735ccedf</t>
  </si>
  <si>
    <t xml:space="preserve">7cad1223-9508-4bc7-9e5c-55e83aa49732, e06a5dda-8b59-4dfc-a1aa-6737688cc1d1</t>
  </si>
  <si>
    <t xml:space="preserve">461ba960-fdb7-4b01-968e-daa4ff0d6347</t>
  </si>
  <si>
    <t xml:space="preserve">0c1f7360-951a-4340-9fdd-9b9793bea0bf, af97e1d5-76ac-4939-8ca1-d19f76bb6f87</t>
  </si>
  <si>
    <t xml:space="preserve">/Users/jorgemunoz/Downloads/IH35-MASTER-RECONCILIATION/03-SETTLEMENTS/company-pdf/Company_Settlement_5770.pdf; </t>
  </si>
  <si>
    <t xml:space="preserve">f086a8c8-2630-452a-982f-d6d6646278a3, 766ce9fe-2473-4feb-96ae-ae1312897764, e9a96ff3-5b74-4ea2-87f3-4fdababea438</t>
  </si>
  <si>
    <t xml:space="preserve">PDF load not printed</t>
  </si>
  <si>
    <t xml:space="preserve">Allocation unresolved</t>
  </si>
  <si>
    <t xml:space="preserve">PDF does not state load and no unique receipt link exists</t>
  </si>
  <si>
    <t xml:space="preserve">Included in settlement total; not assigned by row position.</t>
  </si>
  <si>
    <t xml:space="preserve">App report margin -2,181.99; AT margin 3,826.25; signed variance -6,008.24 | At least $67.81 allocated to the wrong load; settlement expense total agrees.</t>
  </si>
  <si>
    <t xml:space="preserve">5771</t>
  </si>
  <si>
    <t xml:space="preserve">/Users/jorgemunoz/Downloads/IH35-MASTER-RECONCILIATION/03-SETTLEMENTS/company-pdf/Company_Settlement_5771.pdf</t>
  </si>
  <si>
    <t xml:space="preserve">ac1c03b8-9a89-4da9-964d-e7ba251feb14</t>
  </si>
  <si>
    <t xml:space="preserve">13504</t>
  </si>
  <si>
    <t xml:space="preserve">/Users/jorgemunoz/Downloads/IH35-MASTER-RECONCILIATION/03-SETTLEMENTS/company-pdf/Company_Settlement_5771.pdf; explicit load header</t>
  </si>
  <si>
    <t xml:space="preserve">78bef760-2124-4ac2-8fd8-f7277ec46894</t>
  </si>
  <si>
    <t xml:space="preserve">c6d30494-3ec6-42a2-99ca-5791afd534c9, 43119fdf-985f-4a52-9631-c0c0db7e01da</t>
  </si>
  <si>
    <t xml:space="preserve">/Users/jorgemunoz/Downloads/IH35-MASTER-RECONCILIATION/03-SETTLEMENTS/company-pdf/Company_Settlement_5771.pdf; explicit driver PDF load</t>
  </si>
  <si>
    <t xml:space="preserve">fb9ead65-270a-4bf8-b4cc-2be21334245f</t>
  </si>
  <si>
    <t xml:space="preserve">10963d8a-8986-4a32-9564-4fd2e6d239a0, ca9f9486-af06-4d3a-b3b4-a9f344c62e69</t>
  </si>
  <si>
    <t xml:space="preserve">/Users/jorgemunoz/Downloads/IH35-MASTER-RECONCILIATION/03-SETTLEMENTS/company-pdf/Company_Settlement_5771.pdf; unique date/vendor/receipt joins PDF fuel row</t>
  </si>
  <si>
    <t xml:space="preserve">13510</t>
  </si>
  <si>
    <t xml:space="preserve">31892d75-0c36-4233-a353-193fbcf4e9b7</t>
  </si>
  <si>
    <t xml:space="preserve">4b28fa48-26ce-4532-ab2c-8db8a220ff62, 8a1a3d4d-f3a4-41fc-bfa1-e85670e78aeb</t>
  </si>
  <si>
    <t xml:space="preserve">b6d1fb56-52b8-4aa5-9fcb-79b89115e648, 79bdaa71-e6cb-453b-9b62-b99c6ded1935</t>
  </si>
  <si>
    <t xml:space="preserve">74ca307a-21f9-40e2-9347-a94c7324f3c8, 4d0ad6cb-05ea-42b0-b157-678a10cc364f, 2d0c4b28-e203-4e3a-aaf1-cd439204d99e, 8d9c6794-e7f5-42ba-8d98-5410a00e546b</t>
  </si>
  <si>
    <t xml:space="preserve">App report margin -2,420.60; AT margin 2,543.40; signed variance -4,964.00 | At least $41.68 allocated to the wrong load; settlement expense total agrees.</t>
  </si>
  <si>
    <t xml:space="preserve">5772</t>
  </si>
  <si>
    <t xml:space="preserve">/Users/jorgemunoz/Downloads/IH35-MASTER-RECONCILIATION/03-SETTLEMENTS/company-pdf/Company_Settlement_5772.pdf</t>
  </si>
  <si>
    <t xml:space="preserve">a855cd97-2cb4-42f2-8b66-a9dd677f3bd8</t>
  </si>
  <si>
    <t xml:space="preserve">13502</t>
  </si>
  <si>
    <t xml:space="preserve">/Users/jorgemunoz/Downloads/IH35-MASTER-RECONCILIATION/03-SETTLEMENTS/company-pdf/Company_Settlement_5772.pdf; explicit load header</t>
  </si>
  <si>
    <t xml:space="preserve">55414ea1-44fd-4db5-901f-571530cc0aa4</t>
  </si>
  <si>
    <t xml:space="preserve">fb351474-002a-4437-b38a-12ffb17b6c60, 7067b82a-8229-45a3-be6c-75a3e7ed9ac0</t>
  </si>
  <si>
    <t xml:space="preserve">/Users/jorgemunoz/Downloads/IH35-MASTER-RECONCILIATION/03-SETTLEMENTS/company-pdf/Company_Settlement_5772.pdf; explicit driver PDF load</t>
  </si>
  <si>
    <t xml:space="preserve">a785edd9-133e-43be-8512-f49672207c44</t>
  </si>
  <si>
    <t xml:space="preserve">89338d11-96a2-429f-bef9-785a758b37ba, b8540d1c-4f47-408d-90ff-da88177a10a3, 73544a72-d194-46d9-a17d-f9f67cb2d0c3</t>
  </si>
  <si>
    <t xml:space="preserve">/Users/jorgemunoz/Downloads/IH35-MASTER-RECONCILIATION/03-SETTLEMENTS/company-pdf/Company_Settlement_5772.pdf; unique date/vendor/receipt joins PDF fuel row</t>
  </si>
  <si>
    <t xml:space="preserve">13507</t>
  </si>
  <si>
    <t xml:space="preserve">52e90595-224d-4120-9aad-9d28a74733f4</t>
  </si>
  <si>
    <t xml:space="preserve">002f9a7b-a1a4-469a-8c1e-55e65f8d59d1, 1ac1d511-91c9-48a0-bdbe-943e57237bd5</t>
  </si>
  <si>
    <t xml:space="preserve">e298462b-2df6-492e-b69b-71031918fe00</t>
  </si>
  <si>
    <t xml:space="preserve">13512</t>
  </si>
  <si>
    <t xml:space="preserve">437058db-e069-479c-924e-5c9781f06b94</t>
  </si>
  <si>
    <t xml:space="preserve">79eee49f-cdeb-400a-a447-eb41f733f291, 034f019d-536b-4eaf-af29-cf8eed119380</t>
  </si>
  <si>
    <t xml:space="preserve">51c29a22-027c-4c70-b2d9-be25836c32c7</t>
  </si>
  <si>
    <t xml:space="preserve">ee48b0de-486a-4808-b3ab-439ff0e480c6</t>
  </si>
  <si>
    <t xml:space="preserve">/Users/jorgemunoz/Downloads/IH35-MASTER-RECONCILIATION/03-SETTLEMENTS/company-pdf/Company_Settlement_5772.pdf; </t>
  </si>
  <si>
    <t xml:space="preserve">7cd5c53b-adaf-45a6-8948-0cb139a0a301, e0345254-6577-4f18-aa1a-f51405c35e21, b152bf46-1fd9-4d05-8dc5-ca6eec2cdfc0, 296ca006-832f-474f-862f-fe867351d52a</t>
  </si>
  <si>
    <t xml:space="preserve">13513</t>
  </si>
  <si>
    <t xml:space="preserve">2184c75f-7ca4-446a-b9da-330cd586c03b</t>
  </si>
  <si>
    <t xml:space="preserve">9096f4e8-6c7e-4c62-9fbf-0fbd7ff7c868, 77ce32f2-0695-45ad-a60b-7924c1385ce9</t>
  </si>
  <si>
    <t xml:space="preserve">410a6b94-f0e1-4dec-b51d-0dec352ac9ab</t>
  </si>
  <si>
    <t xml:space="preserve">875716c2-3d3d-4c4a-bcf0-2f0219126974</t>
  </si>
  <si>
    <t xml:space="preserve">App report margin -4,917.91; AT margin 1,418.86; signed variance -6,336.77 | At least $66.05 allocated to the wrong load; settlement expense total agrees.</t>
  </si>
  <si>
    <t xml:space="preserve">5773</t>
  </si>
  <si>
    <t xml:space="preserve">Transportation-shared; Genuine differences</t>
  </si>
  <si>
    <t xml:space="preserve">13497</t>
  </si>
  <si>
    <t xml:space="preserve">/Users/jorgemunoz/Downloads/IH35-MASTER-RECONCILIATION/03-SETTLEMENTS/company-pdf/Company_Settlement_5773.pdf</t>
  </si>
  <si>
    <t xml:space="preserve">f7929962-5465-4add-aa79-329a5c61b251</t>
  </si>
  <si>
    <t xml:space="preserve">Transportation-shared — excluded load membership</t>
  </si>
  <si>
    <t xml:space="preserve">App intentionally has no row for this load; no mismatch assigned.</t>
  </si>
  <si>
    <t xml:space="preserve">13511</t>
  </si>
  <si>
    <t xml:space="preserve">/Users/jorgemunoz/Downloads/IH35-MASTER-RECONCILIATION/03-SETTLEMENTS/company-pdf/Company_Settlement_5773.pdf; explicit load header</t>
  </si>
  <si>
    <t xml:space="preserve">fa01f487-2b80-4128-8202-3a052306dc46</t>
  </si>
  <si>
    <t xml:space="preserve">2d0d7d74-5676-4d54-a671-25e4243332f1, f5e6fd9f-747b-439d-9955-8d41ddb21bf9, f856dcf2-382e-4a4e-8eca-9b5e3caf3a45, 4bccc1bd-888e-4ff6-960d-26f943a5a7f8</t>
  </si>
  <si>
    <t xml:space="preserve">9eca1282-1917-4688-8a06-ec10bffd67a6, c766aac8-f3e9-4039-9c91-153a8cd6f876, ad684f43-b6f7-4e8a-9e23-ccd1ae54dbd1, 735c0a7c-0b10-4d63-ae03-7004b439d200, 0bb81143-828b-4b00-ad74-021eea371688</t>
  </si>
  <si>
    <t xml:space="preserve">/Users/jorgemunoz/Downloads/IH35-MASTER-RECONCILIATION/03-SETTLEMENTS/company-pdf/Company_Settlement_5773.pdf; unique date/vendor/receipt joins PDF fuel row</t>
  </si>
  <si>
    <t xml:space="preserve">e021be3a-220d-4d62-bf05-1f53e3a311bb, 48234108-84fa-4865-9d96-092c925590be, 05348a40-fe9b-4439-b07d-d9972fa68faf, fe002760-e7bb-44f5-984c-70fcd9ef56ca, 1cf9de4d-46f0-405c-9f29-bafc30ba2a03</t>
  </si>
  <si>
    <t xml:space="preserve">App report margin -4,118.22; AT margin 4,683.69; signed variance -8,801.91 | AT-only load revenue excluded from the comparison; all settlement costs retained under owner ruling. No frozen-entity query performed.</t>
  </si>
  <si>
    <t xml:space="preserve">5774</t>
  </si>
  <si>
    <t xml:space="preserve">/Users/jorgemunoz/Downloads/IH35-MASTER-RECONCILIATION/03-SETTLEMENTS/company-pdf/Company_Settlement_5774.pdf</t>
  </si>
  <si>
    <t xml:space="preserve">3ae9e6b0-85b8-4dae-a682-be9af224e270</t>
  </si>
  <si>
    <t xml:space="preserve">13517</t>
  </si>
  <si>
    <t xml:space="preserve">/Users/jorgemunoz/Downloads/IH35-MASTER-RECONCILIATION/03-SETTLEMENTS/company-pdf/Company_Settlement_5774.pdf; explicit load header</t>
  </si>
  <si>
    <t xml:space="preserve">ba6db3b8-2e1e-4045-878e-e33514ae28ac</t>
  </si>
  <si>
    <t xml:space="preserve">c784be9d-c2ba-47db-a4c7-6aa085f458c5, 96e2b7bd-cc04-46f8-8ac8-43520d71117d</t>
  </si>
  <si>
    <t xml:space="preserve">/Users/jorgemunoz/Downloads/IH35-MASTER-RECONCILIATION/03-SETTLEMENTS/company-pdf/Company_Settlement_5774.pdf; explicit driver PDF load</t>
  </si>
  <si>
    <t xml:space="preserve">1189694d-0828-4b17-abe8-925aeaea34af</t>
  </si>
  <si>
    <t xml:space="preserve">90fb8de5-348d-458f-a3ad-f1d701e8df25, 0cf20ebe-eb82-427a-9567-249cc198848f</t>
  </si>
  <si>
    <t xml:space="preserve">/Users/jorgemunoz/Downloads/IH35-MASTER-RECONCILIATION/03-SETTLEMENTS/company-pdf/Company_Settlement_5774.pdf; unique date/vendor/receipt joins PDF fuel row</t>
  </si>
  <si>
    <t xml:space="preserve">7704c5b9-b243-484c-9fa3-9d8ea891c488, abfc79cf-234c-498d-8576-61c8a414aea5, d6172774-aa47-49b0-8eb1-b680ed8349e1, 7ab47a31-dfdc-41fe-b89d-eea737563f4b, 4d1300ff-6ad8-4838-8d44-17d97c46e3a5, 597bcfc5-59a5-4439-a270-1ef85ecccd15</t>
  </si>
  <si>
    <t xml:space="preserve">13518</t>
  </si>
  <si>
    <t xml:space="preserve">bad3b0b9-135e-451b-9503-ab87a6be033c</t>
  </si>
  <si>
    <t xml:space="preserve">483e9ed3-dc97-4740-a210-df0392d87670, 0fde1fae-1c6f-4b91-bd29-0f0e49bce9cc</t>
  </si>
  <si>
    <t xml:space="preserve">a53f8ea4-a619-40b1-b672-a820d8040448</t>
  </si>
  <si>
    <t xml:space="preserve">cf57aeac-f89a-460d-8f77-4f9ee6cb6b35</t>
  </si>
  <si>
    <t xml:space="preserve">App report margin -2,284.68; AT margin 2,914.91; signed variance -5,199.59 | At least $18.70 allocated to the wrong load; settlement expense total agrees.</t>
  </si>
  <si>
    <t xml:space="preserve">5775</t>
  </si>
  <si>
    <t xml:space="preserve">/Users/jorgemunoz/Downloads/IH35-MASTER-RECONCILIATION/03-SETTLEMENTS/company-pdf/Company_Settlement_5775.pdf</t>
  </si>
  <si>
    <t xml:space="preserve">d3e1fc4f-9eb2-4e2b-9507-643f41f8df5b</t>
  </si>
  <si>
    <t xml:space="preserve">13506</t>
  </si>
  <si>
    <t xml:space="preserve">/Users/jorgemunoz/Downloads/IH35-MASTER-RECONCILIATION/03-SETTLEMENTS/company-pdf/Company_Settlement_5775.pdf; explicit load header</t>
  </si>
  <si>
    <t xml:space="preserve">9bb26cbc-d49e-453f-81f1-455571c339c1</t>
  </si>
  <si>
    <t xml:space="preserve">138ad19e-bfcd-4171-84bf-f4fd2a82094f, ec45bf0d-0b3d-4938-b7e9-4a16e9a1822e</t>
  </si>
  <si>
    <t xml:space="preserve">8cd7a2d6-930e-4591-98ff-76fd92c9fc3a, 2bc94663-98bc-4bd4-99c9-daf7890b7364</t>
  </si>
  <si>
    <t xml:space="preserve">/Users/jorgemunoz/Downloads/IH35-MASTER-RECONCILIATION/03-SETTLEMENTS/company-pdf/Company_Settlement_5775.pdf; unique date/vendor/receipt joins PDF fuel row</t>
  </si>
  <si>
    <t xml:space="preserve">13514</t>
  </si>
  <si>
    <t xml:space="preserve">5f9f69d1-c63a-4fb9-bace-e3388e10b925</t>
  </si>
  <si>
    <t xml:space="preserve">acbe6217-ac11-484a-a607-7d55f0d81dd2, 9ac768c3-93ed-4601-95a5-91869311cfa9</t>
  </si>
  <si>
    <t xml:space="preserve">/Users/jorgemunoz/Downloads/IH35-MASTER-RECONCILIATION/03-SETTLEMENTS/company-pdf/Company_Settlement_5775.pdf; explicit driver PDF load</t>
  </si>
  <si>
    <t xml:space="preserve">d71fce10-4583-4985-94a7-f9f2b65abed4, 874cfee0-e70e-49b6-875d-8a37f1f01df1</t>
  </si>
  <si>
    <t xml:space="preserve">e6298f2c-22b2-400e-b968-7f60c7d2f349, d1be2dac-19a9-440f-bd29-6154cf8839e7, d1db1bbb-f7ff-4844-88a5-5f611d9e72fb</t>
  </si>
  <si>
    <t xml:space="preserve">64f2b99c-dd9f-4548-8a23-1f4bb56ed2b5, edb89fc2-1d29-449f-9834-3db7765abce0, 8e856c7a-e125-4705-bfe1-7f15940eeea1, d58b5498-281a-4331-862b-01207c867ff8, 1cbf216d-2786-4177-bb89-aae57db2bd3e, 8bd67408-e185-41dd-ae2c-a1635e0a32bf, 4cf7ac88-967b-4108-98e6-c23b23f6d7c9, 772d8ccc-ccf7-4b82-9d92-dbf7efa51261</t>
  </si>
  <si>
    <t xml:space="preserve">13516</t>
  </si>
  <si>
    <t xml:space="preserve">327b9493-6c3d-4cc4-b117-05b1c0d1bdfc</t>
  </si>
  <si>
    <t xml:space="preserve">c520959a-d857-455e-a781-66c06d25700a, 8a76af50-de43-4eb3-896d-10dfbd2e1ed5</t>
  </si>
  <si>
    <t xml:space="preserve">6d21e5ee-17cd-4249-916f-e8e8619a56e9</t>
  </si>
  <si>
    <t xml:space="preserve">3e4d6856-374e-4c26-9590-7f6a5dc04637</t>
  </si>
  <si>
    <t xml:space="preserve">App report margin -1,954.65; AT margin 2,345.26; signed variance -4,299.91 | At least $49.11 allocated to the wrong load; settlement expense total agrees.</t>
  </si>
  <si>
    <t xml:space="preserve">5776</t>
  </si>
  <si>
    <t xml:space="preserve">/Users/jorgemunoz/Downloads/IH35-MASTER-RECONCILIATION/03-SETTLEMENTS/company-pdf/Company_Settlement_5776.pdf</t>
  </si>
  <si>
    <t xml:space="preserve">104c9b13-b19e-4ecb-812c-d2e335a5dfef</t>
  </si>
  <si>
    <t xml:space="preserve">13505</t>
  </si>
  <si>
    <t xml:space="preserve">/Users/jorgemunoz/Downloads/IH35-MASTER-RECONCILIATION/03-SETTLEMENTS/company-pdf/Company_Settlement_5776.pdf; explicit load header</t>
  </si>
  <si>
    <t xml:space="preserve">3927fca8-a91a-44b2-9bde-f84f9f51ebd2</t>
  </si>
  <si>
    <t xml:space="preserve">0e4eebf6-67fa-40ff-8cb1-6e773f93485b, d949b743-3312-4c7c-b236-098929663a7b</t>
  </si>
  <si>
    <t xml:space="preserve">/Users/jorgemunoz/Downloads/IH35-MASTER-RECONCILIATION/03-SETTLEMENTS/company-pdf/Company_Settlement_5776.pdf; explicit driver PDF load</t>
  </si>
  <si>
    <t xml:space="preserve">5bde2298-6e9a-4d4f-9bb2-6f13499803a4, 0e1ff275-b9af-40a3-9892-042597bbf396</t>
  </si>
  <si>
    <t xml:space="preserve">d6ca614e-af54-4ab8-a915-9f36296ee82f, a2a49893-0ea8-45bb-aede-c22edf124f2f, 1e21ed2f-5f23-43c6-bddf-a99938f265e8</t>
  </si>
  <si>
    <t xml:space="preserve">/Users/jorgemunoz/Downloads/IH35-MASTER-RECONCILIATION/03-SETTLEMENTS/company-pdf/Company_Settlement_5776.pdf; unique date/vendor/receipt joins PDF fuel row</t>
  </si>
  <si>
    <t xml:space="preserve">13515</t>
  </si>
  <si>
    <t xml:space="preserve">eb8d0bff-b66d-4c15-98a1-629f4df8a52a</t>
  </si>
  <si>
    <t xml:space="preserve">64c9ec10-a4d9-4845-b89d-341136a5f7fe, 6ecaa3cf-e9d1-4354-8c2e-17e1ae995890</t>
  </si>
  <si>
    <t xml:space="preserve">851a0195-c927-4db6-9535-955387a918d0</t>
  </si>
  <si>
    <t xml:space="preserve">061b4a33-8420-452f-b50a-7a21a0182174, f21a997f-0303-4695-b7f2-649b369236e5, 7f516ec3-1418-445e-b94c-512e7ce219d4, c60f7564-32a1-477d-9974-21d5c02d22dc</t>
  </si>
  <si>
    <t xml:space="preserve">5ee11e39-8077-4f4a-a2c7-f55e389856cd, 9f6990c0-32c0-4544-9e96-6d2cbc369bda, 24b9378b-0b13-4e00-8770-989f6c193383, 5d931f31-f0c0-4d41-8da5-7f840f74bcda, 5047b9b9-a786-4dac-a556-1f92a8671d07, 0f8f23cb-af43-4d57-bb65-a4f139ddb74b, 4f828e9a-add8-44e0-890b-d5ad296316ad, 3a84177d-294f-4c09-99bb-90c93e411c12, 2f8354b7-8354-4f0a-85ce-d2e7b4a45b07, df3dc885-f5b1-4214-bf95-f701e79a2a70</t>
  </si>
  <si>
    <t xml:space="preserve">13520</t>
  </si>
  <si>
    <t xml:space="preserve">a9397dec-e03d-4010-86e7-f92dc188d564</t>
  </si>
  <si>
    <t xml:space="preserve">e71e3254-5cdb-4251-b970-6c499ab337b6, 19129bbc-3d9e-45a2-829e-0cd1afac46f3</t>
  </si>
  <si>
    <t xml:space="preserve">App report margin -6,849.65; AT margin 1,115.11; signed variance -7,964.76 | At least $58.71 allocated to the wrong load; settlement expense total agrees.</t>
  </si>
  <si>
    <t xml:space="preserve">5777</t>
  </si>
  <si>
    <t xml:space="preserve">/Users/jorgemunoz/Downloads/IH35-MASTER-RECONCILIATION/03-SETTLEMENTS/company-pdf/Company_Settlement_5777.pdf</t>
  </si>
  <si>
    <t xml:space="preserve">0bc3d0dc-221e-49c3-a816-a15934cc576e</t>
  </si>
  <si>
    <t xml:space="preserve">13519</t>
  </si>
  <si>
    <t xml:space="preserve">/Users/jorgemunoz/Downloads/IH35-MASTER-RECONCILIATION/03-SETTLEMENTS/company-pdf/Company_Settlement_5777.pdf; explicit load header</t>
  </si>
  <si>
    <t xml:space="preserve">6ec37d41-5a8c-4aaa-ac68-e2c55159bbd2</t>
  </si>
  <si>
    <t xml:space="preserve">ad511436-30f5-4552-a139-8328db4ec2e2, 861ca8df-4a35-45e2-a173-8683a77b7cc2</t>
  </si>
  <si>
    <t xml:space="preserve">/Users/jorgemunoz/Downloads/IH35-MASTER-RECONCILIATION/03-SETTLEMENTS/company-pdf/Company_Settlement_5777.pdf; explicit driver PDF load</t>
  </si>
  <si>
    <t xml:space="preserve">95c86d94-a9b7-4a5c-8956-6cc5aae7b3f7</t>
  </si>
  <si>
    <t xml:space="preserve">b77ed71f-81f5-4a08-9e67-a53d91fe998c, eea0e55a-16a9-4312-a2c1-d414d268c137</t>
  </si>
  <si>
    <t xml:space="preserve">/Users/jorgemunoz/Downloads/IH35-MASTER-RECONCILIATION/03-SETTLEMENTS/company-pdf/Company_Settlement_5777.pdf; unique date/vendor/receipt joins PDF fuel row</t>
  </si>
  <si>
    <t xml:space="preserve">64755987-cd3f-4758-93e8-87943267b9a1, cdf0692c-3032-4555-b01f-6ad2d9bc02cc</t>
  </si>
  <si>
    <t xml:space="preserve">13521</t>
  </si>
  <si>
    <t xml:space="preserve">cc41b4d7-c804-40c4-bc25-ab1c7b6e2370</t>
  </si>
  <si>
    <t xml:space="preserve">d1f22c28-8beb-4d11-87fd-8a5a41ad09ae, 891f85b5-939a-4af9-bcb3-820c666ec02e</t>
  </si>
  <si>
    <t xml:space="preserve">f14b038e-e44d-467e-a912-11eec388be72, 8dd3f0e1-f885-4064-bf52-a79f8dc68b8d</t>
  </si>
  <si>
    <t xml:space="preserve">App report margin -3,827.65; AT margin 2,813.50; signed variance -6,641.15 | At least $32.90 allocated to the wrong load; settlement expense total agrees.</t>
  </si>
  <si>
    <t xml:space="preserve">5778</t>
  </si>
  <si>
    <t xml:space="preserve">Genuine differences</t>
  </si>
  <si>
    <t xml:space="preserve">/Users/jorgemunoz/Downloads/IH35-MASTER-RECONCILIATION/03-SETTLEMENTS/company-pdf/Company_Settlement_5778.pdf</t>
  </si>
  <si>
    <t xml:space="preserve">2607e074-b514-43ac-9f25-e00b6f2bf934</t>
  </si>
  <si>
    <t xml:space="preserve">13524</t>
  </si>
  <si>
    <t xml:space="preserve">/Users/jorgemunoz/Downloads/IH35-MASTER-RECONCILIATION/03-SETTLEMENTS/company-pdf/Company_Settlement_5778.pdf; explicit load header</t>
  </si>
  <si>
    <t xml:space="preserve">3d3f12d9-eb6d-42ab-9ec3-67f28c4b5139</t>
  </si>
  <si>
    <t xml:space="preserve">602870e9-3045-4bca-9c5b-19d92319d879, 1b5ed438-fda7-4d2c-a68a-3b8d466dc0d1</t>
  </si>
  <si>
    <t xml:space="preserve">/Users/jorgemunoz/Downloads/IH35-MASTER-RECONCILIATION/03-SETTLEMENTS/company-pdf/Company_Settlement_5778.pdf; explicit driver PDF load</t>
  </si>
  <si>
    <t xml:space="preserve">7eb95184-fd8c-4d03-a838-28a14870550e</t>
  </si>
  <si>
    <t xml:space="preserve">08e0b5d7-c4ab-441e-9403-5f6f975464a9, e5121ec8-d326-4975-9c04-f844c3812fb3, 18ceb686-8aef-40ba-b4d4-64a5c620994d, e7877916-d8fd-4e93-a16f-0675b54b7825, 6e69defb-2c9c-4fa6-9106-51ad076bdab7</t>
  </si>
  <si>
    <t xml:space="preserve">/Users/jorgemunoz/Downloads/IH35-MASTER-RECONCILIATION/03-SETTLEMENTS/company-pdf/Company_Settlement_5778.pdf; unique date/vendor/receipt joins PDF fuel row</t>
  </si>
  <si>
    <t xml:space="preserve">c81291e9-c32a-45a7-97a0-3ec1ef57af46, 28632423-cfc6-44b9-9d46-ac0dbdeb826d, 1a40d57b-163b-4fdb-8091-fafd5c59688c, cdd30163-2c8e-45ce-95ec-84ebb3db6206, 867ea064-8140-4179-9046-c69bc8aef7f1, b44664cd-90c3-4cfb-bf73-790506d7f056</t>
  </si>
  <si>
    <t xml:space="preserve">13525</t>
  </si>
  <si>
    <t xml:space="preserve">4e703a99-e41a-4cec-b0c0-8e8a8db63d61, efab17d1-e91c-428a-b627-be8d91aa2fdc</t>
  </si>
  <si>
    <t xml:space="preserve">05e40c16-6d5b-41ca-b8ea-2a0092579eef</t>
  </si>
  <si>
    <t xml:space="preserve">App report margin -8,611.65; AT margin -981.16; signed variance -7,630.49</t>
  </si>
  <si>
    <t xml:space="preserve">Transaction differences: {"line haul": -40000}</t>
  </si>
  <si>
    <t xml:space="preserve">5779</t>
  </si>
  <si>
    <t xml:space="preserve">/Users/jorgemunoz/Downloads/IH35-MASTER-RECONCILIATION/03-SETTLEMENTS/company-pdf/Company_Settlement_5779.pdf</t>
  </si>
  <si>
    <t xml:space="preserve">c7905bbb-d50e-4bd0-9c5d-2ba55356ba7d</t>
  </si>
  <si>
    <t xml:space="preserve">13526</t>
  </si>
  <si>
    <t xml:space="preserve">/Users/jorgemunoz/Downloads/IH35-MASTER-RECONCILIATION/03-SETTLEMENTS/company-pdf/Company_Settlement_5779.pdf; explicit load header</t>
  </si>
  <si>
    <t xml:space="preserve">a21139b1-07b0-4eee-9a7d-df3b37458dcf</t>
  </si>
  <si>
    <t xml:space="preserve">ec205e4c-105f-4702-92cb-c7e8506f70a2, 65c0702f-440b-4d09-9df7-68048c55fc78</t>
  </si>
  <si>
    <t xml:space="preserve">/Users/jorgemunoz/Downloads/IH35-MASTER-RECONCILIATION/03-SETTLEMENTS/company-pdf/Company_Settlement_5779.pdf; explicit driver PDF load</t>
  </si>
  <si>
    <t xml:space="preserve">8ae6300b-36cf-461e-ac10-1c2539e7ec41</t>
  </si>
  <si>
    <t xml:space="preserve">20349a96-e364-4f79-877f-af9712bb6dfe, 1a284cdd-bf83-41dc-bf0b-453a2efc3971</t>
  </si>
  <si>
    <t xml:space="preserve">/Users/jorgemunoz/Downloads/IH35-MASTER-RECONCILIATION/03-SETTLEMENTS/company-pdf/Company_Settlement_5779.pdf; unique date/vendor/receipt joins PDF fuel row</t>
  </si>
  <si>
    <t xml:space="preserve">e7b43067-26df-4858-af8b-f52c582da048, 803b501c-6435-443d-a098-e6614184c6d8, 92a6ca7c-beb0-4591-9f80-93df3701ceda, 37535bd6-2a8b-449c-9641-0a654fc20764</t>
  </si>
  <si>
    <t xml:space="preserve">13527</t>
  </si>
  <si>
    <t xml:space="preserve">ec0ea8cb-4c6a-4a45-ada2-2ec4419b71d5</t>
  </si>
  <si>
    <t xml:space="preserve">46c1e420-ebff-462b-ab36-6c526d9b1ead, bd51cf26-17a0-4d6c-b021-e2dbf6e725a5</t>
  </si>
  <si>
    <t xml:space="preserve">572d9942-d788-4537-acd4-3cb3ae381347, 549d612d-8898-4ea4-88b6-c83e7a9d0943, 9353343b-3881-4767-97c5-cb858e2ebcb7, 90169508-078b-4aef-b24c-54890444aebe</t>
  </si>
  <si>
    <t xml:space="preserve">b6c6d59a-21cd-4159-bf20-61668c70312f</t>
  </si>
  <si>
    <t xml:space="preserve">App report margin -4,460.58; AT margin 1,610.01; signed variance -6,070.59 | At least $63.62 allocated to the wrong load; settlement expense total agrees.</t>
  </si>
  <si>
    <t xml:space="preserve">5780</t>
  </si>
  <si>
    <t xml:space="preserve">13530</t>
  </si>
  <si>
    <t xml:space="preserve">/Users/jorgemunoz/Downloads/IH35-MASTER-RECONCILIATION/03-SETTLEMENTS/company-pdf/Company_Settlement_5780.pdf</t>
  </si>
  <si>
    <t xml:space="preserve">7175d16a-6846-4ffc-a01e-42f034c7e40e</t>
  </si>
  <si>
    <t xml:space="preserve">13532</t>
  </si>
  <si>
    <t xml:space="preserve">/Users/jorgemunoz/Downloads/IH35-MASTER-RECONCILIATION/03-SETTLEMENTS/company-pdf/Company_Settlement_5780.pdf; explicit load header</t>
  </si>
  <si>
    <t xml:space="preserve">7a914ccd-29f1-4291-aaa3-1ee2ce9522d6</t>
  </si>
  <si>
    <t xml:space="preserve">/Users/jorgemunoz/Downloads/IH35-MASTER-RECONCILIATION/03-SETTLEMENTS/company-pdf/Company_Settlement_5780.pdf; </t>
  </si>
  <si>
    <t xml:space="preserve">6459cc7c-7d04-4281-834e-e56caf412fb2, 4f3f9b01-71c6-48aa-be22-77867525b00e, 54dd8497-c6be-47ed-9d5b-69c5bf3d14ed, 94b634d9-ea1c-4b93-a0d8-cb1f13c874e4</t>
  </si>
  <si>
    <t xml:space="preserve">46bc39e5-dfb8-432f-9578-181f84bc2f9e</t>
  </si>
  <si>
    <t xml:space="preserve">62de1473-caca-491e-94f1-c260a6560fa9, e2410056-b393-4c2d-ba2f-3e23a2e1f4c8, 61cf6936-20a0-406a-b048-84747c7dee28</t>
  </si>
  <si>
    <t xml:space="preserve">App report margin -364.47; AT margin 1,098.03; signed variance -1,462.50 | AT-only load revenue excluded from the comparison; all settlement costs retained under owner ruling. No frozen-entity query performed.</t>
  </si>
  <si>
    <t xml:space="preserve">Transaction differences: {"driver pay": 30000}</t>
  </si>
  <si>
    <t xml:space="preserve">5781</t>
  </si>
  <si>
    <t xml:space="preserve">/Users/jorgemunoz/Downloads/IH35-MASTER-RECONCILIATION/03-SETTLEMENTS/company-pdf/Company_Settlement_5781.pdf</t>
  </si>
  <si>
    <t xml:space="preserve">ca988f5d-2b7c-43c3-b044-c488182e9315</t>
  </si>
  <si>
    <t xml:space="preserve">13523</t>
  </si>
  <si>
    <t xml:space="preserve">/Users/jorgemunoz/Downloads/IH35-MASTER-RECONCILIATION/03-SETTLEMENTS/company-pdf/Company_Settlement_5781.pdf; explicit load header</t>
  </si>
  <si>
    <t xml:space="preserve">cc59fc2d-5996-4530-a8ac-b21f6dd5a222</t>
  </si>
  <si>
    <t xml:space="preserve">2af1e8f8-3a69-4d53-bd13-7407ce9dc44f, d31abf4a-ae79-4ce4-b9f6-ac3d9d7efc55</t>
  </si>
  <si>
    <t xml:space="preserve">3020720e-65d7-4b1c-8136-0841fd9c4b75, c44682f5-7743-45b7-8944-2d59352e8067, 7656848d-0770-4c3e-8c4a-02e26229adad</t>
  </si>
  <si>
    <t xml:space="preserve">/Users/jorgemunoz/Downloads/IH35-MASTER-RECONCILIATION/03-SETTLEMENTS/company-pdf/Company_Settlement_5781.pdf; unique date/vendor/receipt joins PDF fuel row</t>
  </si>
  <si>
    <t xml:space="preserve">4afcaac1-bae9-4f4b-bc43-b62c5d091489, d0cbceef-99af-4ca9-975b-978c90ab9ea1, ec4516d8-bd3c-4c34-b4e0-fb830db8cc09, 0eb5708f-2753-4fd7-b782-2fa1c7e0ae2c, 2554d7ed-1aee-4df9-89c1-191e2208f9cb, 5a226188-9291-4c16-a49a-072d0ba46b0a</t>
  </si>
  <si>
    <t xml:space="preserve">13534</t>
  </si>
  <si>
    <t xml:space="preserve">3bfd126a-215f-4c42-ac73-52422dfc278e</t>
  </si>
  <si>
    <t xml:space="preserve">bc2a7115-d563-4589-8476-3335d0a632bd, a999d503-751f-4d60-99c6-4dc51dd09fca</t>
  </si>
  <si>
    <t xml:space="preserve">bf644b2a-8f19-4f58-bd1b-55ca2054c994, ede9cd4d-833a-45c4-8d38-76334f14c1a6</t>
  </si>
  <si>
    <t xml:space="preserve">81ff108d-69e7-4f67-9aed-66bd5d022a2b, 1cf60dc3-e747-4023-9fb2-33c4e244988e, 5a0df46b-e7fb-43d8-aef9-44ef31b5baee, 1bf1db37-d0ed-434a-9372-8c3ddcf8db27, db2f366d-065b-4511-ac60-cb1af6d78efc</t>
  </si>
  <si>
    <t xml:space="preserve">App report margin -541.67; AT margin 2,082.86; signed variance -2,624.53</t>
  </si>
  <si>
    <t xml:space="preserve">Transaction differences: {"expenses": 31955}</t>
  </si>
  <si>
    <t xml:space="preserve">5782</t>
  </si>
  <si>
    <t xml:space="preserve">/Users/jorgemunoz/Downloads/Company_Settlement_5782.pdf</t>
  </si>
  <si>
    <t xml:space="preserve">97f247d3-be78-4fa1-83bd-830a07c2ea1a</t>
  </si>
  <si>
    <t xml:space="preserve">13529</t>
  </si>
  <si>
    <t xml:space="preserve">/Users/jorgemunoz/Downloads/Company_Settlement_5782.pdf; explicit load header</t>
  </si>
  <si>
    <t xml:space="preserve">d831cce8-27af-4d46-bbad-d2ff0f278b1d</t>
  </si>
  <si>
    <t xml:space="preserve">07e9b77c-f39d-4d18-a8b4-64573b2885f8, 4d343da7-c433-466f-9f1f-919771527fac</t>
  </si>
  <si>
    <t xml:space="preserve">00face6b-305d-4e0c-b95f-8f9d65e5fdfc, 57214a33-cf2e-4f6e-98c3-060a936cf72a</t>
  </si>
  <si>
    <t xml:space="preserve">/Users/jorgemunoz/Downloads/Company_Settlement_5782.pdf; unique date/vendor/receipt joins PDF fuel row</t>
  </si>
  <si>
    <t xml:space="preserve">d7769a62-8976-4746-93ee-2d89be7eca38, a94b82fe-37c9-448a-ac07-8ffcdc3b1ca0, 8f5a924d-8b92-477b-89de-453257810bc7, ce1d35dc-c854-4a25-bf5b-c67d3d306160, ed58a2a8-7d28-4410-9f71-af2a3accac07, dd279734-83f3-4193-83ed-5f0ea5427cb6</t>
  </si>
  <si>
    <t xml:space="preserve">13540</t>
  </si>
  <si>
    <t xml:space="preserve">22959199-4dde-41e0-a7db-1da04bdf28f5</t>
  </si>
  <si>
    <t xml:space="preserve">669ad71f-c7c2-4c5d-806b-0ccac3ae1306, 408c4b60-d8ed-462a-94bb-2378794e1a50</t>
  </si>
  <si>
    <t xml:space="preserve">/Users/jorgemunoz/Downloads/Company_Settlement_5782.pdf; explicit driver PDF load</t>
  </si>
  <si>
    <t xml:space="preserve">1860a730-0e37-4810-8ad8-62d36bb0bbd1</t>
  </si>
  <si>
    <t xml:space="preserve">7c6074ed-81a4-48a1-9356-5fdd76e4e558, 35c9b54f-6b33-4a2d-bacf-b39b0870e1dc</t>
  </si>
  <si>
    <t xml:space="preserve">App report margin -4,018.99; AT margin 1,843.93; signed variance -5,862.92 | At least $55.77 allocated to the wrong load; settlement expense total agrees.</t>
  </si>
  <si>
    <t xml:space="preserve">5783</t>
  </si>
  <si>
    <t xml:space="preserve">/Users/jorgemunoz/Downloads/IH35-MASTER-RECONCILIATION/03-SETTLEMENTS/company-pdf/Company_Settlement_5783.pdf</t>
  </si>
  <si>
    <t xml:space="preserve">9612237d-c6ca-4096-b0db-cc9fda36f11b</t>
  </si>
  <si>
    <t xml:space="preserve">13535</t>
  </si>
  <si>
    <t xml:space="preserve">/Users/jorgemunoz/Downloads/IH35-MASTER-RECONCILIATION/03-SETTLEMENTS/company-pdf/Company_Settlement_5783.pdf; explicit load header</t>
  </si>
  <si>
    <t xml:space="preserve">5119981d-9858-492c-b29d-9bf6b93cdcdb</t>
  </si>
  <si>
    <t xml:space="preserve">87a02082-e86f-4228-9829-fb3dead73d08, f6d24ae5-0857-46d3-a4d0-3a6d8f2d7c8e</t>
  </si>
  <si>
    <t xml:space="preserve">/Users/jorgemunoz/Downloads/IH35-MASTER-RECONCILIATION/03-SETTLEMENTS/company-pdf/Company_Settlement_5783.pdf; explicit driver PDF load</t>
  </si>
  <si>
    <t xml:space="preserve">2276259a-fddb-4782-b83d-3cb49a5d2add</t>
  </si>
  <si>
    <t xml:space="preserve">f875b99a-4aaf-4f51-b939-1995befec084, acf862ac-2ec7-4254-87da-7efeaf1a5bc9</t>
  </si>
  <si>
    <t xml:space="preserve">/Users/jorgemunoz/Downloads/IH35-MASTER-RECONCILIATION/03-SETTLEMENTS/company-pdf/Company_Settlement_5783.pdf; </t>
  </si>
  <si>
    <t xml:space="preserve">85a0d950-92f8-4d07-9260-af8942e5158d, 0ef27875-cfc0-43c4-bdfc-88490eaae226, 4e022972-04a5-4514-accc-2deaafd82962</t>
  </si>
  <si>
    <t xml:space="preserve">13537</t>
  </si>
  <si>
    <t xml:space="preserve">b82ad34a-e3b8-4fc8-abc2-a35310ee9bd6</t>
  </si>
  <si>
    <t xml:space="preserve">69db1a7b-aff0-4317-ab7b-3db562ee362d, 15fc3c89-ba17-4011-8904-ee87f82c91a0</t>
  </si>
  <si>
    <t xml:space="preserve">715c771f-ea27-4350-ad9d-075d9aaf43e5</t>
  </si>
  <si>
    <t xml:space="preserve">a3b99834-f419-43aa-bec0-0315787685bc, 49055fa8-6569-4911-8a6b-736886d642d1</t>
  </si>
  <si>
    <t xml:space="preserve">/Users/jorgemunoz/Downloads/IH35-MASTER-RECONCILIATION/03-SETTLEMENTS/company-pdf/Company_Settlement_5783.pdf; unique date/vendor/receipt joins PDF fuel row</t>
  </si>
  <si>
    <t xml:space="preserve">App report margin -1,204.03; AT margin 2,284.86; signed variance -3,488.89 | At least $40.25 allocated to the wrong load; settlement expense total agrees.</t>
  </si>
  <si>
    <t xml:space="preserve">5784</t>
  </si>
  <si>
    <t xml:space="preserve">/Users/jorgemunoz/Downloads/IH35-MASTER-RECONCILIATION/03-SETTLEMENTS/company-pdf/Company_Settlement_5784.pdf</t>
  </si>
  <si>
    <t xml:space="preserve">16bae7c0-95b3-4eb0-bff4-688642f95a19</t>
  </si>
  <si>
    <t xml:space="preserve">13522</t>
  </si>
  <si>
    <t xml:space="preserve">/Users/jorgemunoz/Downloads/IH35-MASTER-RECONCILIATION/03-SETTLEMENTS/company-pdf/Company_Settlement_5784.pdf; explicit load header</t>
  </si>
  <si>
    <t xml:space="preserve">2b13351f-4f1c-49c4-8530-1caf0d26a63d</t>
  </si>
  <si>
    <t xml:space="preserve">a5202bd6-fcd2-44a7-b9d4-0b3c468493b3, bb3c7a5a-c3ec-4bfc-8e23-3085af8d553e</t>
  </si>
  <si>
    <t xml:space="preserve">/Users/jorgemunoz/Downloads/IH35-MASTER-RECONCILIATION/03-SETTLEMENTS/company-pdf/Company_Settlement_5784.pdf; explicit driver PDF load</t>
  </si>
  <si>
    <t xml:space="preserve">116ce8ac-80b3-4de2-9686-9e3162bac74c</t>
  </si>
  <si>
    <t xml:space="preserve">8f1998fe-e417-48b8-931d-c71d9a9c4332, 4d9edca9-510e-4c23-b38d-c8857d81cbca, 60334dea-2bf8-4091-8a5f-28395a093fc0</t>
  </si>
  <si>
    <t xml:space="preserve">/Users/jorgemunoz/Downloads/IH35-MASTER-RECONCILIATION/03-SETTLEMENTS/company-pdf/Company_Settlement_5784.pdf; unique date/vendor/receipt joins PDF fuel row</t>
  </si>
  <si>
    <t xml:space="preserve">13528</t>
  </si>
  <si>
    <t xml:space="preserve">688014e3-3a69-4ebc-bd42-236a808e80fc</t>
  </si>
  <si>
    <t xml:space="preserve">2b773fed-1d12-46e7-8640-68df7621ea93, 57652226-7386-49f6-bb84-723db8bd79c8</t>
  </si>
  <si>
    <t xml:space="preserve">68e2378b-a822-4e73-bdde-d646d73d02cb</t>
  </si>
  <si>
    <t xml:space="preserve">472c6120-1298-4601-982c-4b31fe144060, 8f3ed5e2-1120-433f-8fa1-f06c7a2e9729, 3bd82505-2723-4e10-9366-61a2d986faa6</t>
  </si>
  <si>
    <t xml:space="preserve">c0c1aace-f701-4f05-89cf-c0b5826092cb, 89c9e181-0858-4cad-94b9-a48d6529126c, 05a02258-08ca-4274-9d59-3d5b617995b1, 29b7d899-a59f-4645-8004-d75bd320b32a, 3bd4dea8-5429-4291-aa2f-05b49549d1f7, 666eea5c-60fc-4349-833f-088f9d6e3e24, d165855b-67d7-42a5-b7e7-f7bb592223d9, 5abc3d44-18e8-42f3-841b-e5cc46332af7, 53887f81-feb5-4aea-ae0d-d09d2b99486f, f87fbf3f-2966-4f17-b56b-310ee7b42070, a4f3e19c-bc7b-4f89-b699-78c8224765b4, abae2d6b-3509-4af2-8ff8-889f3662fa3e</t>
  </si>
  <si>
    <t xml:space="preserve">13536</t>
  </si>
  <si>
    <t xml:space="preserve">d42159c1-b38d-4467-aee7-9d111bacb92d</t>
  </si>
  <si>
    <t xml:space="preserve">b0fb55a1-3bf9-4de5-a6f4-a5a08fdfc2e1, c4e48bda-eeac-4ea2-aed5-38d45b905a76</t>
  </si>
  <si>
    <t xml:space="preserve">8c638326-ba64-4fcc-8bd5-f2a607bdc9e5</t>
  </si>
  <si>
    <t xml:space="preserve">857525ba-ba8c-432f-a6c1-4eb67722af2e, 9765adb2-9dc3-487d-8ece-896617bd4f3f</t>
  </si>
  <si>
    <t xml:space="preserve">App report margin -5,517.91; AT margin 2,938.77; signed variance -8,456.68 | At least $130.88 allocated to the wrong load; settlement expense total agrees.</t>
  </si>
  <si>
    <t xml:space="preserve">5785</t>
  </si>
  <si>
    <t xml:space="preserve">/Users/jorgemunoz/Downloads/IH35-MASTER-RECONCILIATION/03-SETTLEMENTS/company-pdf/Company_Settlement_5785.pdf</t>
  </si>
  <si>
    <t xml:space="preserve">c3dc6158-3968-43db-90c9-ec3f1ca3d80b</t>
  </si>
  <si>
    <t xml:space="preserve">13531</t>
  </si>
  <si>
    <t xml:space="preserve">/Users/jorgemunoz/Downloads/IH35-MASTER-RECONCILIATION/03-SETTLEMENTS/company-pdf/Company_Settlement_5785.pdf; explicit load header</t>
  </si>
  <si>
    <t xml:space="preserve">31b2e4a0-a733-471f-b82c-0c2e0987727b</t>
  </si>
  <si>
    <t xml:space="preserve">cb441956-613b-4300-be52-495b7a45784f, fb28dd78-1733-498f-b4b2-4f0847cb695a</t>
  </si>
  <si>
    <t xml:space="preserve">124748b6-4f1b-4274-843e-20ad716e2f7f, 9171c881-e08c-4174-8505-60df3fe8423a</t>
  </si>
  <si>
    <t xml:space="preserve">/Users/jorgemunoz/Downloads/IH35-MASTER-RECONCILIATION/03-SETTLEMENTS/company-pdf/Company_Settlement_5785.pdf; unique date/vendor/receipt joins PDF fuel row</t>
  </si>
  <si>
    <t xml:space="preserve">13538</t>
  </si>
  <si>
    <t xml:space="preserve">c0b44fc3-e837-4229-a699-380cebd5a2e3</t>
  </si>
  <si>
    <t xml:space="preserve">9071b639-c859-4c6c-b0a1-c4b914f70e01, 32e1d733-eac9-4d0c-8c7c-af1a47a29136</t>
  </si>
  <si>
    <t xml:space="preserve">/Users/jorgemunoz/Downloads/IH35-MASTER-RECONCILIATION/03-SETTLEMENTS/company-pdf/Company_Settlement_5785.pdf; explicit driver PDF load</t>
  </si>
  <si>
    <t xml:space="preserve">3e1768a7-4a26-41bd-a217-250608f5f1e6</t>
  </si>
  <si>
    <t xml:space="preserve">364f5345-96a5-4564-8269-89b6aaf3eafb, d5a49fca-e521-4b8a-9cb6-aa3442bb6a1e</t>
  </si>
  <si>
    <t xml:space="preserve">16adceb4-e49a-4729-9a5c-a4d43f180a9b, a8f0172e-449c-455d-aeb3-9cf42dfbf5fe, bbfaf795-4b73-4a06-9471-800aad5e677e, b4f5e1ad-71a9-4470-9dac-a79a83702960, 6b5c2d89-2414-4e17-8ab6-e04b6c840b67, 8d56b422-98fe-4c18-a9d2-ca04de1c4a8b</t>
  </si>
  <si>
    <t xml:space="preserve">13543</t>
  </si>
  <si>
    <t xml:space="preserve">e2fc2aac-2359-4699-b15a-2f5a64715cac</t>
  </si>
  <si>
    <t xml:space="preserve">63cf0b1b-834f-4d22-8dde-7e4b94bb84a0, 224fc1e8-1d8d-448b-8967-50dfe72abe82</t>
  </si>
  <si>
    <t xml:space="preserve">98f46bc1-2d70-47d0-bee3-86667cb8848d</t>
  </si>
  <si>
    <t xml:space="preserve">a9c12432-2bde-4de0-81e5-70bf76c32abd, 98ad3749-fb8f-4a40-b5b6-1197f6bc0bbf</t>
  </si>
  <si>
    <t xml:space="preserve">App report margin -4,517.99; AT margin 1,196.09; signed variance -5,714.08 | At least $79.42 allocated to the wrong load; settlement expense total agrees.</t>
  </si>
  <si>
    <t xml:space="preserve">5786</t>
  </si>
  <si>
    <t xml:space="preserve">13533</t>
  </si>
  <si>
    <t xml:space="preserve">/Users/jorgemunoz/Downloads/IH35-MASTER-RECONCILIATION/03-SETTLEMENTS/company-pdf/Company_Settlement_5786.pdf</t>
  </si>
  <si>
    <t xml:space="preserve">47c6ce25-d7f3-47b5-ae7e-38be14617880</t>
  </si>
  <si>
    <t xml:space="preserve">13548</t>
  </si>
  <si>
    <t xml:space="preserve">/Users/jorgemunoz/Downloads/IH35-MASTER-RECONCILIATION/03-SETTLEMENTS/company-pdf/Company_Settlement_5786.pdf; explicit load header</t>
  </si>
  <si>
    <t xml:space="preserve">5eb3c3d0-c3b7-4475-99f1-6b0fdb839777</t>
  </si>
  <si>
    <t xml:space="preserve">d0839e83-b9e1-469a-8732-225d810221fd, 533320b6-ba5c-4790-a51d-0774e36577ce, 76a6f94d-ebf2-4cf7-ae4e-1d3b826c76f3, 83156adc-dd9a-42e8-8bed-59db044b5ad0</t>
  </si>
  <si>
    <t xml:space="preserve">63431792-5f13-4b1b-b918-a0feda813ddc, 8ac5772d-267d-43eb-8345-88d1cdd4d741, 7ec5b0cb-29f6-4632-a439-f6456e7770ea, 23a73e3d-9a56-4d8a-a17d-763cb116165d</t>
  </si>
  <si>
    <t xml:space="preserve">/Users/jorgemunoz/Downloads/IH35-MASTER-RECONCILIATION/03-SETTLEMENTS/company-pdf/Company_Settlement_5786.pdf; unique date/vendor/receipt joins PDF fuel row</t>
  </si>
  <si>
    <t xml:space="preserve">211f0ef8-2621-4cdb-9e2e-62a53471065d, 42506eb7-bb3e-4a4f-a255-b0dfbe80e0b3, 8653feb7-bd6e-45e5-b8ed-765e960c02f6, 831733cd-d607-48b2-82b6-3cb9ac2f8daf</t>
  </si>
  <si>
    <t xml:space="preserve">App report margin -2,464.23; AT margin 2,149.57; signed variance -4,613.80 | AT-only load revenue excluded from the comparison; all settlement costs retained under owner ruling. No frozen-entity query performed.</t>
  </si>
  <si>
    <t xml:space="preserve">5787</t>
  </si>
  <si>
    <t xml:space="preserve">/Users/jorgemunoz/Downloads/IH35-MASTER-RECONCILIATION/03-SETTLEMENTS/company-pdf/Company_Settlement_5787.pdf</t>
  </si>
  <si>
    <t xml:space="preserve">74a1b6b6-dcfd-4e89-ac5b-846c0af80f7f</t>
  </si>
  <si>
    <t xml:space="preserve">13549</t>
  </si>
  <si>
    <t xml:space="preserve">/Users/jorgemunoz/Downloads/IH35-MASTER-RECONCILIATION/03-SETTLEMENTS/company-pdf/Company_Settlement_5787.pdf; explicit load header</t>
  </si>
  <si>
    <t xml:space="preserve">00f0315c-c86c-4b50-838a-99fa68f66763</t>
  </si>
  <si>
    <t xml:space="preserve">63fa8950-3f33-4764-a67e-fdf775330673, 85863a67-a2e1-4e6b-a6c8-4f9faff51f58</t>
  </si>
  <si>
    <t xml:space="preserve">/Users/jorgemunoz/Downloads/IH35-MASTER-RECONCILIATION/03-SETTLEMENTS/company-pdf/Company_Settlement_5787.pdf; explicit driver PDF load</t>
  </si>
  <si>
    <t xml:space="preserve">f6627695-1763-4e11-9d5c-7aedfab17795</t>
  </si>
  <si>
    <t xml:space="preserve">986a3f66-db44-4816-801b-cb2600d9b1eb</t>
  </si>
  <si>
    <t xml:space="preserve">/Users/jorgemunoz/Downloads/IH35-MASTER-RECONCILIATION/03-SETTLEMENTS/company-pdf/Company_Settlement_5787.pdf; unique date/vendor/receipt joins PDF fuel row</t>
  </si>
  <si>
    <t xml:space="preserve">8a2f1077-43ac-4e2f-bf6c-6785a97a206b, 260d57f2-5e9f-429f-9523-f7542e793ca1, d5487933-52e2-4733-a937-34c92cd18694, b4b8565e-e94d-4e08-8a34-5a0a261e795d, 7a41559d-926d-411c-a670-6a7ac91962f4, 3c091880-d5e2-4a91-8af5-ed3139231a75, 3ce7e2a5-b93c-406c-b8a7-341f6ecc0951</t>
  </si>
  <si>
    <t xml:space="preserve">13555</t>
  </si>
  <si>
    <t xml:space="preserve">31474eff-496d-40e5-85a8-4a1af6cea5cf</t>
  </si>
  <si>
    <t xml:space="preserve">bac4881c-0297-44f9-b95b-2dc33d59c511, 5feb61ff-c641-4e76-b54f-7a185cea19b0</t>
  </si>
  <si>
    <t xml:space="preserve">5813ae5f-513b-41d3-bf0e-7616bb99888a, 6748747f-955a-48fa-bd92-39af5f8df5c2</t>
  </si>
  <si>
    <t xml:space="preserve">App report margin -2,367.23; AT margin 943.53; signed variance -3,310.76 | At least $49.74 allocated to the wrong load; settlement expense total agrees. | AUTH-089 resolved at fresh read: two $15.25 expense documents present; non-diesel total $140.20. Allocation remains wrong.</t>
  </si>
  <si>
    <t xml:space="preserve">5788</t>
  </si>
  <si>
    <t xml:space="preserve">/Users/jorgemunoz/Downloads/IH35-MASTER-RECONCILIATION/03-SETTLEMENTS/company-pdf/Company_Settlement_5788.pdf</t>
  </si>
  <si>
    <t xml:space="preserve">bee2e5e6-ca44-49b3-82be-8ee5c15839c6</t>
  </si>
  <si>
    <t xml:space="preserve">13539</t>
  </si>
  <si>
    <t xml:space="preserve">/Users/jorgemunoz/Downloads/IH35-MASTER-RECONCILIATION/03-SETTLEMENTS/company-pdf/Company_Settlement_5788.pdf; explicit load header</t>
  </si>
  <si>
    <t xml:space="preserve">2d7f95d2-5526-4911-a88c-57610d1b4d44</t>
  </si>
  <si>
    <t xml:space="preserve">7b25f690-3003-453c-b2fc-b4fdf76129b0, ba8588eb-5f26-4f11-96b6-498939afbdaa</t>
  </si>
  <si>
    <t xml:space="preserve">907371df-ec66-40ac-9abf-36f33e44db91, 581aa7f0-d070-49ed-929f-58cbdbd8d330</t>
  </si>
  <si>
    <t xml:space="preserve">13546</t>
  </si>
  <si>
    <t xml:space="preserve">9fb8f17e-6b07-4971-a976-90969fd6fceb</t>
  </si>
  <si>
    <t xml:space="preserve">5d3f28d1-9bd4-4698-8df2-0a7d4cb8cbdc, ae8089df-0a14-4237-822b-47ed48043c75</t>
  </si>
  <si>
    <t xml:space="preserve">4b68dd25-9c26-49ff-be15-c0b0020f9bf4, 18ca16d8-7a7f-4607-92a3-f05649981852, 99d26c7b-192b-4946-b5a0-95658ac2fbb7</t>
  </si>
  <si>
    <t xml:space="preserve">/Users/jorgemunoz/Downloads/IH35-MASTER-RECONCILIATION/03-SETTLEMENTS/company-pdf/Company_Settlement_5788.pdf; </t>
  </si>
  <si>
    <t xml:space="preserve">ea362b71-ebda-4578-b162-788a6457deda, c0c164e4-9ce7-415d-9788-2c38a716e345, 85467f6e-3767-4658-b832-a71e9e12726a, cf74a537-fae7-4af1-82a2-fd26e612fa18, 6f37e7f2-0a89-4b85-8ee8-a26eb76507f6, d46a2029-2820-49ac-9a46-5ee8f2e139d5, 3cca4352-92ff-426a-86c4-bf9fedd96ea6</t>
  </si>
  <si>
    <t xml:space="preserve">13552</t>
  </si>
  <si>
    <t xml:space="preserve">f624e537-4662-403d-8ae1-33925dbe2de3</t>
  </si>
  <si>
    <t xml:space="preserve">89a23a57-85fc-41c7-80df-25df3dde2098, 4934f799-05ac-4d22-8a0f-9a6b6bb6e10d</t>
  </si>
  <si>
    <t xml:space="preserve">730cfd6f-5a40-4c62-b7f2-aff7c2bd7cb7, 55028369-863e-452c-b5b4-840c477bced6, 93be15a5-3661-4b4c-9d26-8241e6e58131</t>
  </si>
  <si>
    <t xml:space="preserve">App report margin -5,138.24; AT margin 2,140.24; signed variance -7,278.48</t>
  </si>
  <si>
    <t xml:space="preserve">5789</t>
  </si>
  <si>
    <t xml:space="preserve">/Users/jorgemunoz/Downloads/IH35-MASTER-RECONCILIATION/03-SETTLEMENTS/company-pdf/Company_Settlement_5789.pdf</t>
  </si>
  <si>
    <t xml:space="preserve">42a4b7e3-2857-451c-ad32-258e521413f3</t>
  </si>
  <si>
    <t xml:space="preserve">13550</t>
  </si>
  <si>
    <t xml:space="preserve">/Users/jorgemunoz/Downloads/IH35-MASTER-RECONCILIATION/03-SETTLEMENTS/company-pdf/Company_Settlement_5789.pdf; explicit load header</t>
  </si>
  <si>
    <t xml:space="preserve">7d05827c-9015-43f0-9a92-874fe92a4484</t>
  </si>
  <si>
    <t xml:space="preserve">5f4faebf-ab49-4a3d-ab83-6eb00680203f, fcd31b28-f9ba-40e0-8e73-93ef7356bde5</t>
  </si>
  <si>
    <t xml:space="preserve">/Users/jorgemunoz/Downloads/IH35-MASTER-RECONCILIATION/03-SETTLEMENTS/company-pdf/Company_Settlement_5789.pdf; explicit driver PDF load</t>
  </si>
  <si>
    <t xml:space="preserve">91d1d22f-a28f-458f-8f3b-de6b772a9f74</t>
  </si>
  <si>
    <t xml:space="preserve">e7a5b286-1906-42b7-be51-8ac5016331b4, 1627a435-9914-4c74-81f2-09c35dfbfeb5, acaea621-31bb-468c-a396-ab978ab64919</t>
  </si>
  <si>
    <t xml:space="preserve">/Users/jorgemunoz/Downloads/IH35-MASTER-RECONCILIATION/03-SETTLEMENTS/company-pdf/Company_Settlement_5789.pdf; unique date/vendor/receipt joins PDF fuel row</t>
  </si>
  <si>
    <t xml:space="preserve">583820b0-ce6d-4e23-83ca-4c239ee24a29, 5bec8f93-6c03-41d0-9922-a25d00c2ac43, 2ba29ee9-e9c5-48eb-a69a-b09a200f4571</t>
  </si>
  <si>
    <t xml:space="preserve">13557</t>
  </si>
  <si>
    <t xml:space="preserve">da907bb0-3c11-40c7-bce9-64759f2f94b0</t>
  </si>
  <si>
    <t xml:space="preserve">2c288087-3fb3-47e4-b0a1-0b82bf098fc3, 627b9aa6-308b-4e83-b7d1-0d9a135615d0</t>
  </si>
  <si>
    <t xml:space="preserve">0bcb805d-56b8-4633-8810-e5ca95d1b4a6</t>
  </si>
  <si>
    <t xml:space="preserve">6cf69a27-2a6c-49d9-884d-f78200c39b45, 3d03ace1-f76d-4bb0-bb3a-98a4565e20e6</t>
  </si>
  <si>
    <t xml:space="preserve">App report margin -2,142.86; AT margin 2,627.94; signed variance -4,770.80 | At least $70.61 allocated to the wrong load; settlement expense total agrees.</t>
  </si>
  <si>
    <t xml:space="preserve">5790</t>
  </si>
  <si>
    <t xml:space="preserve">/Users/jorgemunoz/Downloads/IH35-MASTER-RECONCILIATION/03-SETTLEMENTS/company-pdf/Company_Settlement_5790.pdf</t>
  </si>
  <si>
    <t xml:space="preserve">c8f03c56-b6e8-4192-8455-1349d5022749</t>
  </si>
  <si>
    <t xml:space="preserve">13542</t>
  </si>
  <si>
    <t xml:space="preserve">/Users/jorgemunoz/Downloads/IH35-MASTER-RECONCILIATION/03-SETTLEMENTS/company-pdf/Company_Settlement_5790.pdf; explicit load header</t>
  </si>
  <si>
    <t xml:space="preserve">c6fddd23-cba2-4d8b-81f4-109f9ee8ec1f</t>
  </si>
  <si>
    <t xml:space="preserve">62f88938-739f-41eb-895e-1725bbb771dd, f123c024-67fb-41d6-bc81-d309119c11d9</t>
  </si>
  <si>
    <t xml:space="preserve">851a4903-6780-4b70-a8f2-f1d6e37fa5bf, fba0e882-7182-4655-8f92-687cf8be38ba, bae25b47-94f0-42d5-8025-82ee8c875348</t>
  </si>
  <si>
    <t xml:space="preserve">/Users/jorgemunoz/Downloads/IH35-MASTER-RECONCILIATION/03-SETTLEMENTS/company-pdf/Company_Settlement_5790.pdf; unique date/vendor/receipt joins PDF fuel row</t>
  </si>
  <si>
    <t xml:space="preserve">a9550c93-f3d8-4967-83ac-03bf7d38e6d5, 6dd8bd0a-aa2c-485a-b623-a663c7880177, 7498b60b-ad6f-442d-a2ef-7f2662282211, 7430ff59-8ee1-41df-b292-c08eec090332, a35cd7e5-68e8-4620-ab3f-253648892c9a, bc73308f-a6cd-4abc-b62e-558f16e19b11</t>
  </si>
  <si>
    <t xml:space="preserve">13554</t>
  </si>
  <si>
    <t xml:space="preserve">/Users/jorgemunoz/Downloads/IH35-MASTER-RECONCILIATION/03-SETTLEMENTS/company-pdf/Company_Settlement_5790.pdf; </t>
  </si>
  <si>
    <t xml:space="preserve">fc16b751-4e39-4944-95ac-95174d69ab4a</t>
  </si>
  <si>
    <t xml:space="preserve">5b2f4a13-3ae7-4323-961c-a166bcbcb242, c7aeecc0-0202-4b1c-a10e-10beba69af39</t>
  </si>
  <si>
    <t xml:space="preserve">6855dcff-736c-4d70-b427-7f2bdbe3a62b, f560790c-11b0-4a34-a17e-50ae2e2cc473, e44f884a-ce8a-4bc5-9047-503ba60de1db</t>
  </si>
  <si>
    <t xml:space="preserve">App report margin -1,984.15; AT margin -1,508.85; signed variance -475.30 | At least $72.64 allocated to the wrong load; settlement expense total agrees.</t>
  </si>
  <si>
    <t xml:space="preserve">Transaction differences: {"line haul": 350000}</t>
  </si>
  <si>
    <t xml:space="preserve">5791</t>
  </si>
  <si>
    <t xml:space="preserve">/Users/jorgemunoz/Downloads/IH35-MASTER-RECONCILIATION/03-SETTLEMENTS/company-pdf/Company_Settlement_5791.pdf</t>
  </si>
  <si>
    <t xml:space="preserve">2dc15aab-54f4-47c6-aeac-76e04e318b86</t>
  </si>
  <si>
    <t xml:space="preserve">13545</t>
  </si>
  <si>
    <t xml:space="preserve">/Users/jorgemunoz/Downloads/IH35-MASTER-RECONCILIATION/03-SETTLEMENTS/company-pdf/Company_Settlement_5791.pdf; explicit load header</t>
  </si>
  <si>
    <t xml:space="preserve">4f84143f-4df7-4db1-a78a-04d588b8aae7</t>
  </si>
  <si>
    <t xml:space="preserve">04da75cd-2eaa-49e9-83a2-0468d41d4898, 913deaab-34be-4dc4-a57c-8aec96bf1066</t>
  </si>
  <si>
    <t xml:space="preserve">4afa292e-aedb-4214-82ba-b712b6956bee, 33cb386e-23f9-453a-ae66-605391dbe756, 9638cfd1-df46-4fa2-81a2-aa0740a5ea33</t>
  </si>
  <si>
    <t xml:space="preserve">/Users/jorgemunoz/Downloads/IH35-MASTER-RECONCILIATION/03-SETTLEMENTS/company-pdf/Company_Settlement_5791.pdf; unique date/vendor/receipt joins PDF fuel row</t>
  </si>
  <si>
    <t xml:space="preserve">e4c282e3-ce5d-4e33-b7fa-524a940723b5, 6c74036d-ebfa-4649-b6e9-93504b812077, f24bbce8-02d7-4598-8b7a-cf094cc1645c</t>
  </si>
  <si>
    <t xml:space="preserve">13560</t>
  </si>
  <si>
    <t xml:space="preserve">4b75d59f-c353-4518-be47-7287df52117a</t>
  </si>
  <si>
    <t xml:space="preserve">100e696c-b765-455b-9e23-442928d282a0, b769d56a-76a7-4e14-b68d-e02d3e574a18</t>
  </si>
  <si>
    <t xml:space="preserve">1502cccf-19ca-4884-b72a-61b79191e122, 4a8c48a6-526e-4da2-a8c0-ce76e9e918a5</t>
  </si>
  <si>
    <t xml:space="preserve">App report margin -282.05; AT margin 3,348.22; signed variance -3,630.27 | At least $53.21 allocated to the wrong load; settlement expense total agrees.</t>
  </si>
  <si>
    <t xml:space="preserve">5792</t>
  </si>
  <si>
    <t xml:space="preserve">/Users/jorgemunoz/Downloads/IH35-MASTER-RECONCILIATION/03-SETTLEMENTS/company-pdf/Company_Settlement_5792.pdf</t>
  </si>
  <si>
    <t xml:space="preserve">cc796171-e283-4c42-85fd-44c54ee6188b</t>
  </si>
  <si>
    <t xml:space="preserve">13547</t>
  </si>
  <si>
    <t xml:space="preserve">/Users/jorgemunoz/Downloads/IH35-MASTER-RECONCILIATION/03-SETTLEMENTS/company-pdf/Company_Settlement_5792.pdf; explicit load header</t>
  </si>
  <si>
    <t xml:space="preserve">7847d6dc-8529-4b3d-b28d-305cf74bf714</t>
  </si>
  <si>
    <t xml:space="preserve">5dd321d4-d9ef-4727-9a29-4a41a37620c6, 912c8d53-2bbc-4b5d-a95c-ffe8447e8874</t>
  </si>
  <si>
    <t xml:space="preserve">4d7fa3bc-42b4-455f-ace9-3515169a022a, fb82b661-4359-45cb-a6f9-53fcee0b5499, 6ee2997e-9a98-455c-ac84-022fc79ce948</t>
  </si>
  <si>
    <t xml:space="preserve">/Users/jorgemunoz/Downloads/IH35-MASTER-RECONCILIATION/03-SETTLEMENTS/company-pdf/Company_Settlement_5792.pdf; unique date/vendor/receipt joins PDF fuel row</t>
  </si>
  <si>
    <t xml:space="preserve">4b4790f2-37d3-40c0-bac9-554ddbebc7ab, d2abc94c-c890-41b2-9b1c-89b73019f49c, 314c2efe-b2fb-4890-8eb2-bb2c99b086fd, 0a0aa01a-234c-415d-b6d1-e70d105157bf</t>
  </si>
  <si>
    <t xml:space="preserve">13559</t>
  </si>
  <si>
    <t xml:space="preserve">748bacd9-3083-4245-99a6-306317bd459a</t>
  </si>
  <si>
    <t xml:space="preserve">f6f4f571-daec-4195-8f08-010886c5a584, 33eead5f-777c-4e19-8f56-da6c5b0f7eb4</t>
  </si>
  <si>
    <t xml:space="preserve">b02c0edf-e6f5-4d7b-9bb4-4fea9935b711, 0a9d9413-8d26-4dd9-b603-0753baa49aec</t>
  </si>
  <si>
    <t xml:space="preserve">13562</t>
  </si>
  <si>
    <t xml:space="preserve">6b76a1e1-d28b-4b6a-affe-8eabd5f1f570</t>
  </si>
  <si>
    <t xml:space="preserve">3f4b70b5-2e1f-45b1-ada5-48273e000af0, 8f66b9c7-31c9-405c-b0a6-709d38f5beff</t>
  </si>
  <si>
    <t xml:space="preserve">App report margin 137.56; AT margin 3,642.26; signed variance -3,504.70 | At least $55.76 allocated to the wrong load; settlement expense total agrees.</t>
  </si>
  <si>
    <t xml:space="preserve">5793</t>
  </si>
  <si>
    <t xml:space="preserve">/Users/jorgemunoz/Downloads/IH35-MASTER-RECONCILIATION/03-SETTLEMENTS/company-pdf/Company_Settlement_5793.pdf</t>
  </si>
  <si>
    <t xml:space="preserve">44cd0e6b-2595-4a73-bd72-bd871ea4db76</t>
  </si>
  <si>
    <t xml:space="preserve">13565</t>
  </si>
  <si>
    <t xml:space="preserve">/Users/jorgemunoz/Downloads/IH35-MASTER-RECONCILIATION/03-SETTLEMENTS/company-pdf/Company_Settlement_5793.pdf; explicit load header</t>
  </si>
  <si>
    <t xml:space="preserve">d9ddd166-5536-4c5f-a8cf-116206711113</t>
  </si>
  <si>
    <t xml:space="preserve">930afd84-e197-4c4e-9ac5-e8d9bf1e4f23, 99bfee30-fcde-4933-8531-d64bab77e71e</t>
  </si>
  <si>
    <t xml:space="preserve">/Users/jorgemunoz/Downloads/IH35-MASTER-RECONCILIATION/03-SETTLEMENTS/company-pdf/Company_Settlement_5793.pdf; explicit driver PDF load</t>
  </si>
  <si>
    <t xml:space="preserve">04cc190e-156d-4661-ba88-a60bf3e3249c, f9dd460c-cff4-40eb-a619-49115e3f655a</t>
  </si>
  <si>
    <t xml:space="preserve">625176cd-d00c-4252-a98b-1c0585d8d1c2, 14f82493-9357-4b3f-bd35-0c53f61236c3, a17cfb50-2192-4d83-a97a-059b70d65ee2</t>
  </si>
  <si>
    <t xml:space="preserve">/Users/jorgemunoz/Downloads/IH35-MASTER-RECONCILIATION/03-SETTLEMENTS/company-pdf/Company_Settlement_5793.pdf; unique date/vendor/receipt joins PDF fuel row</t>
  </si>
  <si>
    <t xml:space="preserve">964abc3d-8672-40d5-9c74-3a60c8da99ec, 03d47f70-abcf-4b88-828c-2ff0ca69436c, f35ff63d-396d-44e2-aa2a-046ee1461bff, 06515aee-ee5a-400d-a5c5-1f0c28f76e19, e5a47bbd-5e0d-448d-bc15-64be86b13e5b, 90e372e9-6610-4fbd-a6d6-cad942fb4c7f, 399d7ace-2045-4c11-a33c-38c961217a2f</t>
  </si>
  <si>
    <t xml:space="preserve">13566</t>
  </si>
  <si>
    <t xml:space="preserve">25bf6850-58b7-421c-aeaf-b4337fdc9355</t>
  </si>
  <si>
    <t xml:space="preserve">f4218793-2ab5-4aef-84f6-b950b514e0ca, 711289dd-42c3-4ad9-93b0-72f6f933e330</t>
  </si>
  <si>
    <t xml:space="preserve">f73d6189-1820-4c76-8ab7-6aeeeff1157e, 33c75afa-14ad-4c80-8a47-f97c898a677e</t>
  </si>
  <si>
    <t xml:space="preserve">62fa32a3-719e-41db-8b5b-7c06c11a60f4, 8815d253-183e-4b43-ad85-0db4d5b74a20, 4beefea7-0a54-49c8-8b69-ab26a7feef96</t>
  </si>
  <si>
    <t xml:space="preserve">App report margin -4,707.49; AT margin -572.07; signed variance -4,135.42 | At least $72.77 allocated to the wrong load; settlement expense total agrees.</t>
  </si>
  <si>
    <t xml:space="preserve">5794</t>
  </si>
  <si>
    <t xml:space="preserve">/Users/jorgemunoz/Downloads/IH35-MASTER-RECONCILIATION/03-SETTLEMENTS/company-pdf/Company_Settlement_5794.pdf</t>
  </si>
  <si>
    <t xml:space="preserve">f9167eb1-bcaa-4564-9f22-c38925371f9e</t>
  </si>
  <si>
    <t xml:space="preserve">13558</t>
  </si>
  <si>
    <t xml:space="preserve">/Users/jorgemunoz/Downloads/IH35-MASTER-RECONCILIATION/03-SETTLEMENTS/company-pdf/Company_Settlement_5794.pdf; explicit load header</t>
  </si>
  <si>
    <t xml:space="preserve">aa78871a-b4e1-4d4b-b232-448614273930</t>
  </si>
  <si>
    <t xml:space="preserve">5240abbf-0b5a-47ac-a00a-0b4a8bb82bd7, cb751b87-47b6-4457-b024-c4d091df0372</t>
  </si>
  <si>
    <t xml:space="preserve">/Users/jorgemunoz/Downloads/IH35-MASTER-RECONCILIATION/03-SETTLEMENTS/company-pdf/Company_Settlement_5794.pdf; explicit driver PDF load</t>
  </si>
  <si>
    <t xml:space="preserve">b0c47f5c-ea45-40ef-af07-13aa4128fa64, ecde98af-42dd-4ef6-87a0-40d1e535be30</t>
  </si>
  <si>
    <t xml:space="preserve">3c05eaa9-eb75-412e-a5b1-7051d2b7cfc1, d83c8c96-2777-4755-a4f5-2521f9cfa88c</t>
  </si>
  <si>
    <t xml:space="preserve">/Users/jorgemunoz/Downloads/IH35-MASTER-RECONCILIATION/03-SETTLEMENTS/company-pdf/Company_Settlement_5794.pdf; unique date/vendor/receipt joins PDF fuel row</t>
  </si>
  <si>
    <t xml:space="preserve">f42790cb-15ff-429d-9dd5-fa0b8c37c1bd, cdd9072e-5042-4e36-857d-007793e60046, a275ff04-f2eb-455a-9f56-65b9bc7d950e, 8745b818-7ed1-4b93-a4f7-e90aafaa545b, ea713cf5-2397-4bd2-b9c7-fb9e241eb64a, e8fa7a62-959a-49a7-9506-16ab987eb693, 63eeb5d8-84e9-460e-9f67-91182aa448b4, 02c56695-8a95-4efc-8cee-575b038fdf3c, d5c8e361-2d22-47bb-be2f-241f29643787</t>
  </si>
  <si>
    <t xml:space="preserve">13568</t>
  </si>
  <si>
    <t xml:space="preserve">d8ee8a85-e69c-4677-9abb-e561f2bd8e3b</t>
  </si>
  <si>
    <t xml:space="preserve">4f8a526c-ac08-4d0a-9532-73eff9028d07, 1d46d60a-3197-4dde-98c4-4463f07653ff</t>
  </si>
  <si>
    <t xml:space="preserve">b030aa96-38db-4011-b492-0116645ddf53</t>
  </si>
  <si>
    <t xml:space="preserve">4e44084e-7d46-4f4c-9052-d21af0702f30, 84e3e2db-ff9d-4346-894c-5f76538a3e30, 55761887-e2f5-42f0-9f84-4d8ccd0045da, e9f8ff63-3a69-4589-90e3-c76704c671cb</t>
  </si>
  <si>
    <t xml:space="preserve">12a35045-f17e-4322-992c-5171abce0c18, 6873c7e2-1251-4e9f-851e-327f9d78da3a</t>
  </si>
  <si>
    <t xml:space="preserve">App report margin -4,184.52; AT margin 2,053.87; signed variance -6,238.39</t>
  </si>
  <si>
    <t xml:space="preserve">Transaction differences: {"expenses": 7962}</t>
  </si>
  <si>
    <t xml:space="preserve">5795</t>
  </si>
  <si>
    <t xml:space="preserve">/Users/jorgemunoz/Downloads/IH35-MASTER-RECONCILIATION/03-SETTLEMENTS/company-pdf/Company_Settlement_5795.pdf</t>
  </si>
  <si>
    <t xml:space="preserve">19c39806-7b1f-496c-a265-0a2fbeee65f5</t>
  </si>
  <si>
    <t xml:space="preserve">13561</t>
  </si>
  <si>
    <t xml:space="preserve">/Users/jorgemunoz/Downloads/IH35-MASTER-RECONCILIATION/03-SETTLEMENTS/company-pdf/Company_Settlement_5795.pdf; explicit load header</t>
  </si>
  <si>
    <t xml:space="preserve">943265b9-e652-42c6-8cb6-ea2e5dc58a90</t>
  </si>
  <si>
    <t xml:space="preserve">a8e11561-d8d6-490f-ada2-af1aadc4a045, 874dde82-6302-47a8-b024-3f04016e6d5a</t>
  </si>
  <si>
    <t xml:space="preserve">39ad280e-4f5c-4228-b8b5-f2b38a329adf, 5c8aa07b-04aa-4b8e-b034-69fea776f4f5</t>
  </si>
  <si>
    <t xml:space="preserve">/Users/jorgemunoz/Downloads/IH35-MASTER-RECONCILIATION/03-SETTLEMENTS/company-pdf/Company_Settlement_5795.pdf; </t>
  </si>
  <si>
    <t xml:space="preserve">f1a076ee-66cd-4605-adf3-deeb71fbca53, 757838ff-5794-4b08-be73-ea8d862a3f31, 72713531-0be0-4d59-a764-16e4f3693374</t>
  </si>
  <si>
    <t xml:space="preserve">72713531-0be0-4d59-a764-16e4f3693374</t>
  </si>
  <si>
    <t xml:space="preserve">13567</t>
  </si>
  <si>
    <t xml:space="preserve">f9a4400f-ee02-405d-8b12-0d50bf328a3f</t>
  </si>
  <si>
    <t xml:space="preserve">97ff036a-4e57-4517-a657-c90504c8e262, 0bc95dc6-8a39-457e-acff-47c6139661dc</t>
  </si>
  <si>
    <t xml:space="preserve">5466aa0b-ab70-4ab5-81e2-10425c6342ad, 3ebfbf0d-e387-44ac-90db-3dd23ddfa665</t>
  </si>
  <si>
    <t xml:space="preserve">/Users/jorgemunoz/Downloads/IH35-MASTER-RECONCILIATION/03-SETTLEMENTS/company-pdf/Company_Settlement_5795.pdf; unique date/vendor/receipt joins PDF fuel row</t>
  </si>
  <si>
    <t xml:space="preserve">App report margin -3,395.12; AT margin 1,031.80; signed variance -4,426.92</t>
  </si>
  <si>
    <t xml:space="preserve">Transaction differences: {"expenses": 7203}</t>
  </si>
  <si>
    <t xml:space="preserve">5796</t>
  </si>
  <si>
    <t xml:space="preserve">/Users/jorgemunoz/Downloads/IH35-MASTER-RECONCILIATION/03-SETTLEMENTS/company-pdf/Company_Settlement_5796.pdf</t>
  </si>
  <si>
    <t xml:space="preserve">d3e57f81-3012-4d52-8a62-909937428bc7</t>
  </si>
  <si>
    <t xml:space="preserve">13541</t>
  </si>
  <si>
    <t xml:space="preserve">/Users/jorgemunoz/Downloads/IH35-MASTER-RECONCILIATION/03-SETTLEMENTS/company-pdf/Company_Settlement_5796.pdf; explicit load header</t>
  </si>
  <si>
    <t xml:space="preserve">bb7e1520-b7c8-4081-812f-672a1f30866c</t>
  </si>
  <si>
    <t xml:space="preserve">67a1199a-a4d4-4fd3-896e-fe9017847ee9, ef2ebd17-134f-4028-a33e-05b7c16eb376</t>
  </si>
  <si>
    <t xml:space="preserve">/Users/jorgemunoz/Downloads/IH35-MASTER-RECONCILIATION/03-SETTLEMENTS/company-pdf/Company_Settlement_5796.pdf; </t>
  </si>
  <si>
    <t xml:space="preserve">104aff0d-5845-4614-acd0-968791a0d18c, 7e897e9c-b6b9-4ed4-9c4e-a46f233aa3d1</t>
  </si>
  <si>
    <t xml:space="preserve">d76713cb-e8a8-4bf2-a802-15ea15315168, 02807af0-119e-439e-828b-a2ee59614258, 5bf01459-a92c-42a3-b5f2-ad79bed12022</t>
  </si>
  <si>
    <t xml:space="preserve">App report margin 461.16; AT margin 2,120.27; signed variance -1,659.11</t>
  </si>
  <si>
    <t xml:space="preserve">Transaction differences: {"fuel": 80703, "expenses": 4505}</t>
  </si>
  <si>
    <t xml:space="preserve">5797</t>
  </si>
  <si>
    <t xml:space="preserve">/Users/jorgemunoz/Downloads/IH35-MASTER-RECONCILIATION/03-SETTLEMENTS/company-pdf/Company_Settlement_5797.pdf</t>
  </si>
  <si>
    <t xml:space="preserve">ab54e326-be00-44df-a34c-943c326da0af</t>
  </si>
  <si>
    <t xml:space="preserve">13569</t>
  </si>
  <si>
    <t xml:space="preserve">/Users/jorgemunoz/Downloads/IH35-MASTER-RECONCILIATION/03-SETTLEMENTS/company-pdf/Company_Settlement_5797.pdf; explicit load header</t>
  </si>
  <si>
    <t xml:space="preserve">e4d68cfc-e2e6-4638-b8bb-595544fef378</t>
  </si>
  <si>
    <t xml:space="preserve">51eb54b0-38c3-4b08-802f-e71d1cabe97d</t>
  </si>
  <si>
    <t xml:space="preserve">/Users/jorgemunoz/Downloads/IH35-MASTER-RECONCILIATION/03-SETTLEMENTS/company-pdf/Company_Settlement_5797.pdf; explicit driver PDF load</t>
  </si>
  <si>
    <t xml:space="preserve">e9d75808-499a-483d-9cc7-1ddf05108952</t>
  </si>
  <si>
    <t xml:space="preserve">8d69f899-e8a3-4a8d-ac78-68dc5e1ee4da, 7977e299-e188-45aa-ad60-913a988592ba, f90ba3b3-3604-4f44-9149-cb3ee8a5e546</t>
  </si>
  <si>
    <t xml:space="preserve">/Users/jorgemunoz/Downloads/IH35-MASTER-RECONCILIATION/03-SETTLEMENTS/company-pdf/Company_Settlement_5797.pdf; unique date/vendor/receipt joins PDF fuel row</t>
  </si>
  <si>
    <t xml:space="preserve">350412fd-7eac-4973-85a2-6b0be93e9e17, c7215f78-682d-443e-805b-1c9b56d63e4a, a0e65241-16ff-4ea8-b7b7-9d6cf04d8b18, d2fdea63-8067-4cc3-be31-9247eedde91b, 65d0c9e6-4770-4756-a162-2374d87c5ece</t>
  </si>
  <si>
    <t xml:space="preserve">/Users/jorgemunoz/Downloads/IH35-MASTER-RECONCILIATION/03-SETTLEMENTS/company-pdf/Company_Settlement_5797.pdf; </t>
  </si>
  <si>
    <t xml:space="preserve">65d0c9e6-4770-4756-a162-2374d87c5ece</t>
  </si>
  <si>
    <t xml:space="preserve">13577</t>
  </si>
  <si>
    <t xml:space="preserve">8577c053-3b4f-4dd8-b771-e284167953f7</t>
  </si>
  <si>
    <t xml:space="preserve">1c8ce61e-d510-4267-b9c1-811a32391645</t>
  </si>
  <si>
    <t xml:space="preserve">d20cb5c0-cd7d-4e0a-bc80-7feac521b515</t>
  </si>
  <si>
    <t xml:space="preserve">69101368-2a10-4487-89a8-940710778d7b, 49747b15-d9ef-4fd8-b513-6b66c053f01b</t>
  </si>
  <si>
    <t xml:space="preserve">App report margin -1,914.97; AT margin 1,436.59; signed variance -3,351.56 | At least $40.97 allocated to the wrong load; settlement expense total agrees.</t>
  </si>
  <si>
    <t xml:space="preserve">5798</t>
  </si>
  <si>
    <t xml:space="preserve">/Users/jorgemunoz/Downloads/IH35-MASTER-RECONCILIATION/03-SETTLEMENTS/company-pdf/Company_Settlement_5798.pdf</t>
  </si>
  <si>
    <t xml:space="preserve">990b37e1-1476-4c9d-9ac5-250956f85411</t>
  </si>
  <si>
    <t xml:space="preserve">13572</t>
  </si>
  <si>
    <t xml:space="preserve">/Users/jorgemunoz/Downloads/IH35-MASTER-RECONCILIATION/03-SETTLEMENTS/company-pdf/Company_Settlement_5798.pdf; explicit load header</t>
  </si>
  <si>
    <t xml:space="preserve">a1ed4c04-dbb0-48d5-ab82-8b6fd9108a28</t>
  </si>
  <si>
    <t xml:space="preserve">63cc8966-5355-43ab-b936-4575cdcc7e20</t>
  </si>
  <si>
    <t xml:space="preserve">c8abf9cd-882b-4923-aa24-6d70353dddf2, 0bbd18ed-6fa3-4f80-9da7-44270d5b5b80</t>
  </si>
  <si>
    <t xml:space="preserve">/Users/jorgemunoz/Downloads/IH35-MASTER-RECONCILIATION/03-SETTLEMENTS/company-pdf/Company_Settlement_5798.pdf; unique date/vendor/receipt joins PDF fuel row</t>
  </si>
  <si>
    <t xml:space="preserve">2561f3f0-465c-44be-8a4e-ae21812039a3, 661b6eaa-9ddb-40a8-a479-accf4946db05</t>
  </si>
  <si>
    <t xml:space="preserve">13575</t>
  </si>
  <si>
    <t xml:space="preserve">b1aa87d1-0ac6-4f79-aa2d-cd22c79d9b29</t>
  </si>
  <si>
    <t xml:space="preserve">98d6a1b3-9595-496e-bc95-0940f9a84f52</t>
  </si>
  <si>
    <t xml:space="preserve">731ddc24-d524-446c-a847-b11f9cfaa269, 041247b7-767a-4ae2-8e98-1072bb918b2c</t>
  </si>
  <si>
    <t xml:space="preserve">App report margin 378.83; AT margin 2,336.81; signed variance -1,957.98</t>
  </si>
  <si>
    <t xml:space="preserve">5799</t>
  </si>
  <si>
    <t xml:space="preserve">/Users/jorgemunoz/Downloads/IH35-MASTER-RECONCILIATION/03-SETTLEMENTS/company-pdf/Company_Settlement_5799.pdf</t>
  </si>
  <si>
    <t xml:space="preserve">5891ae55-16e9-4917-9b16-57da0fac7a79</t>
  </si>
  <si>
    <t xml:space="preserve">13571</t>
  </si>
  <si>
    <t xml:space="preserve">/Users/jorgemunoz/Downloads/IH35-MASTER-RECONCILIATION/03-SETTLEMENTS/company-pdf/Company_Settlement_5799.pdf; explicit load header</t>
  </si>
  <si>
    <t xml:space="preserve">d43ab986-aba7-4479-b36f-3351c57d3687</t>
  </si>
  <si>
    <t xml:space="preserve">f426c011-4a89-4e1c-a6de-1198ad40e40f</t>
  </si>
  <si>
    <t xml:space="preserve">/Users/jorgemunoz/Downloads/IH35-MASTER-RECONCILIATION/03-SETTLEMENTS/company-pdf/Company_Settlement_5799.pdf; explicit driver PDF load</t>
  </si>
  <si>
    <t xml:space="preserve">b95cdb37-1b7e-42a4-b1bb-3712521628ff</t>
  </si>
  <si>
    <t xml:space="preserve">c0aa22b4-720c-43fb-bd92-3c003ed7267d, 3ac69b8c-d089-4687-8965-823ce2bd1ffe, 9284b0be-f19b-474e-837e-dcac6af04f9c, 1f1bdc7c-961e-4e8a-825f-a238b7b18448</t>
  </si>
  <si>
    <t xml:space="preserve">/Users/jorgemunoz/Downloads/IH35-MASTER-RECONCILIATION/03-SETTLEMENTS/company-pdf/Company_Settlement_5799.pdf; unique date/vendor/receipt joins PDF fuel row</t>
  </si>
  <si>
    <t xml:space="preserve">786ffcdf-0abb-463f-a71f-23bbe84a40fb, 706d003d-e9bd-4364-a031-ee629ec62efe, 062a0361-1910-41a1-beec-7fdecafac4ce, 5004188e-228c-4c9d-9425-e6bb90865b91</t>
  </si>
  <si>
    <t xml:space="preserve">13574</t>
  </si>
  <si>
    <t xml:space="preserve">70601298-0dde-4add-a1aa-3b9c56d1397c</t>
  </si>
  <si>
    <t xml:space="preserve">565a9cf2-d7a6-46f8-821a-a50c4be3757a</t>
  </si>
  <si>
    <t xml:space="preserve">d4232a21-ca8d-4b24-97a4-39ff68c8ed3b</t>
  </si>
  <si>
    <t xml:space="preserve">933c8f5c-0795-4eaa-8275-d0a4b6c778d6, 7a48a7ec-a75e-4135-8775-a8ed66a1684e</t>
  </si>
  <si>
    <t xml:space="preserve">App report margin -2,260.93; AT margin 2,315.18; signed variance -4,576.11</t>
  </si>
  <si>
    <t xml:space="preserve">5800</t>
  </si>
  <si>
    <t xml:space="preserve">/Users/jorgemunoz/Downloads/IH35-MASTER-RECONCILIATION/03-SETTLEMENTS/company-pdf/Company_Settlement_5800.pdf</t>
  </si>
  <si>
    <t xml:space="preserve">3812de6e-815c-417d-8e98-db30c1d398ae</t>
  </si>
  <si>
    <t xml:space="preserve">13551</t>
  </si>
  <si>
    <t xml:space="preserve">/Users/jorgemunoz/Downloads/IH35-MASTER-RECONCILIATION/03-SETTLEMENTS/company-pdf/Company_Settlement_5800.pdf; explicit load header</t>
  </si>
  <si>
    <t xml:space="preserve">2854c87f-9ecc-439e-8b58-7cce3e8c60fb</t>
  </si>
  <si>
    <t xml:space="preserve">f05e7444-d9cd-4e29-99b3-be16f0f6f756, 48dfc285-25a9-4814-ae2e-cc8bbefb5005</t>
  </si>
  <si>
    <t xml:space="preserve">/Users/jorgemunoz/Downloads/IH35-MASTER-RECONCILIATION/03-SETTLEMENTS/company-pdf/Company_Settlement_5800.pdf; explicit driver PDF load</t>
  </si>
  <si>
    <t xml:space="preserve">74f92467-c4da-436b-8801-502c0fb8800e, c5428e4a-1b7c-4a80-ae09-6188e700e66a</t>
  </si>
  <si>
    <t xml:space="preserve">b7a1c0c0-8055-40ec-817b-ae933b57a3b3, 2d8bcb2a-0797-4347-b151-7e674b5588fc, a1b27b1c-ea47-443f-9ccc-8a4978bb2a36</t>
  </si>
  <si>
    <t xml:space="preserve">/Users/jorgemunoz/Downloads/IH35-MASTER-RECONCILIATION/03-SETTLEMENTS/company-pdf/Company_Settlement_5800.pdf; unique date/vendor/receipt joins PDF fuel row</t>
  </si>
  <si>
    <t xml:space="preserve">f4056ff7-619f-467a-9254-bb7729588b57, 2a586a50-0bf7-4a87-81eb-d0f614b076a2, e4a6a676-ea2e-40cd-b488-d711d1295de7, fcea268b-b1f4-404b-b55b-cdada6f8bb1e, fe732705-21a1-47df-984a-6b93da5bccd4</t>
  </si>
  <si>
    <t xml:space="preserve">13573</t>
  </si>
  <si>
    <t xml:space="preserve">153445a9-536e-4fc0-8c9a-016d217a3146</t>
  </si>
  <si>
    <t xml:space="preserve">e5846c3e-e58f-4c7d-b464-bb822ebed78f</t>
  </si>
  <si>
    <t xml:space="preserve">4190e3ed-0a56-49c7-9e0e-9fd10f789075</t>
  </si>
  <si>
    <t xml:space="preserve">92af2dfe-9818-489e-bcfb-54a583a7362a, 106cd505-cc1f-41dc-8f9f-a2007df4a133</t>
  </si>
  <si>
    <t xml:space="preserve">13584</t>
  </si>
  <si>
    <t xml:space="preserve">eb1c8f97-3b72-4fc1-bdc5-8e1e9412a276</t>
  </si>
  <si>
    <t xml:space="preserve">bb9fad02-3c1a-442f-a579-016eadbf4f65</t>
  </si>
  <si>
    <t xml:space="preserve">43e9ef10-9380-4e48-99b8-b606c957b606</t>
  </si>
  <si>
    <t xml:space="preserve">a31e0c33-d523-44d7-8c25-d71899f7907a</t>
  </si>
  <si>
    <t xml:space="preserve">App report margin -2,851.42; AT margin 602.09; signed variance -3,453.51</t>
  </si>
  <si>
    <t xml:space="preserve">5801</t>
  </si>
  <si>
    <t xml:space="preserve">/Users/jorgemunoz/Downloads/IH35-MASTER-RECONCILIATION/03-SETTLEMENTS/company-pdf/Company_Settlement_5801.pdf</t>
  </si>
  <si>
    <t xml:space="preserve">e27aaa92-d265-4e11-9ba4-ca46fffada76</t>
  </si>
  <si>
    <t xml:space="preserve">13570</t>
  </si>
  <si>
    <t xml:space="preserve">/Users/jorgemunoz/Downloads/IH35-MASTER-RECONCILIATION/03-SETTLEMENTS/company-pdf/Company_Settlement_5801.pdf; explicit load header</t>
  </si>
  <si>
    <t xml:space="preserve">da0122ed-0681-4bcf-a9a9-fd707d281961</t>
  </si>
  <si>
    <t xml:space="preserve">2ba7947c-1c35-46e2-b046-54277b2eb537</t>
  </si>
  <si>
    <t xml:space="preserve">/Users/jorgemunoz/Downloads/IH35-MASTER-RECONCILIATION/03-SETTLEMENTS/company-pdf/Company_Settlement_5801.pdf; explicit driver PDF load</t>
  </si>
  <si>
    <t xml:space="preserve">2b7f8f1a-a927-4796-95ef-53f775d49c18, 3e10fa60-2425-4c5a-bef0-3f844a143f72</t>
  </si>
  <si>
    <t xml:space="preserve">e4a90401-0c45-401d-bc61-483cfccc1028, fa80034c-c190-4fc7-b3c9-acb1fd48e1e0</t>
  </si>
  <si>
    <t xml:space="preserve">/Users/jorgemunoz/Downloads/IH35-MASTER-RECONCILIATION/03-SETTLEMENTS/company-pdf/Company_Settlement_5801.pdf; unique date/vendor/receipt joins PDF fuel row</t>
  </si>
  <si>
    <t xml:space="preserve">7adf7320-f4fc-441c-a13b-e2686289d923, bdb0110e-5f38-4459-b137-0c0a893820d4, e8ca03dc-9a69-4e40-8b44-f27ef24fb06a, 771d0f4b-2b0d-45ab-8e46-3c9858b36074</t>
  </si>
  <si>
    <t xml:space="preserve">13580</t>
  </si>
  <si>
    <t xml:space="preserve">bb2b7d16-ddd3-4953-9d7f-ccfadd3e7aa4</t>
  </si>
  <si>
    <t xml:space="preserve">39cfe0cc-fec9-430f-ab43-346125af5e92</t>
  </si>
  <si>
    <t xml:space="preserve">7eda2b36-1336-4580-99d2-cc8d0852ceea</t>
  </si>
  <si>
    <t xml:space="preserve">18b615d3-77a5-465b-8747-b6e23bf37d5a, 304f5ac5-07fc-427c-99a0-15e456a3126a, 051e6769-910e-4ced-84e0-9ed83fe40d07, 926d0781-5d77-4c38-bd89-824b225cfca4</t>
  </si>
  <si>
    <t xml:space="preserve">523dd17e-8f5f-4498-97fd-af77161b3157, 2490a899-4995-4ad7-b4f4-24f2ea8ff2cd, b59b6076-98d5-4dbd-84d3-ed6d74bfc43b</t>
  </si>
  <si>
    <t xml:space="preserve">App report margin 728.17; AT margin 4,085.95; signed variance -3,357.78</t>
  </si>
  <si>
    <t xml:space="preserve">5802</t>
  </si>
  <si>
    <t xml:space="preserve">/Users/jorgemunoz/Downloads/IH35-MASTER-RECONCILIATION/03-SETTLEMENTS/company-pdf/Company_Settlement_5802.pdf</t>
  </si>
  <si>
    <t xml:space="preserve">d609ec4e-f0f5-4c99-8fbd-f68daae486fc</t>
  </si>
  <si>
    <t xml:space="preserve">13579</t>
  </si>
  <si>
    <t xml:space="preserve">/Users/jorgemunoz/Downloads/IH35-MASTER-RECONCILIATION/03-SETTLEMENTS/company-pdf/Company_Settlement_5802.pdf; explicit load header</t>
  </si>
  <si>
    <t xml:space="preserve">47b5cdab-b221-4a52-b1c1-b14caba86587</t>
  </si>
  <si>
    <t xml:space="preserve">b30191c8-6e1a-41bd-a70c-7eb6cd7cd9c9</t>
  </si>
  <si>
    <t xml:space="preserve">/Users/jorgemunoz/Downloads/IH35-MASTER-RECONCILIATION/03-SETTLEMENTS/company-pdf/Company_Settlement_5802.pdf; explicit driver PDF load</t>
  </si>
  <si>
    <t xml:space="preserve">555889f5-672d-404f-81d3-58cc68691aaa</t>
  </si>
  <si>
    <t xml:space="preserve">49b040f3-b454-4b08-9eac-c6219614f64c, 8fa8a786-ae2c-4ca2-a945-4eae3395ad53</t>
  </si>
  <si>
    <t xml:space="preserve">/Users/jorgemunoz/Downloads/IH35-MASTER-RECONCILIATION/03-SETTLEMENTS/company-pdf/Company_Settlement_5802.pdf; unique date/vendor/receipt joins PDF fuel row</t>
  </si>
  <si>
    <t xml:space="preserve">776d5f51-105c-46ad-9bf8-65392f1ab768, 48efc99a-2005-4a06-80f4-466d7b4803d8</t>
  </si>
  <si>
    <t xml:space="preserve">13589</t>
  </si>
  <si>
    <t xml:space="preserve">e1da05a2-f709-48ae-bd02-8d19066316c9</t>
  </si>
  <si>
    <t xml:space="preserve">b986fbe6-025f-47de-b1f9-b11259ecf1d1</t>
  </si>
  <si>
    <t xml:space="preserve">b585c4e6-5f6d-4386-a87e-e2ad1487de04</t>
  </si>
  <si>
    <t xml:space="preserve">6dad9741-c19c-478b-ac94-614ab8066e63, 0874d891-cd10-4a49-8823-1c9fe7afb4af, 2223a0ee-42f1-40b1-ad2a-c5076dde89c6, 8162553e-f91d-4fa6-8328-f53fffde8ccd</t>
  </si>
  <si>
    <t xml:space="preserve">caa1f243-bfcd-40e5-acd9-448e31328d1c, 5c765f04-86ef-4b9d-b90a-c7dba91b8c52, 44d39bea-f636-4d90-b2c6-cec9fe094629</t>
  </si>
  <si>
    <t xml:space="preserve">App report margin -222.24; AT margin 3,179.86; signed variance -3,402.10</t>
  </si>
  <si>
    <t xml:space="preserve">5803</t>
  </si>
  <si>
    <t xml:space="preserve">/Users/jorgemunoz/Downloads/IH35-MASTER-RECONCILIATION/03-SETTLEMENTS/company-pdf/Company_Settlement_5803.pdf</t>
  </si>
  <si>
    <t xml:space="preserve">19282bc0-1c0b-4721-bac7-0803e6a37bdb</t>
  </si>
  <si>
    <t xml:space="preserve">13564</t>
  </si>
  <si>
    <t xml:space="preserve">/Users/jorgemunoz/Downloads/IH35-MASTER-RECONCILIATION/03-SETTLEMENTS/company-pdf/Company_Settlement_5803.pdf; </t>
  </si>
  <si>
    <t xml:space="preserve">fdce5a63-75c5-40d9-9b22-4ea55d7f2280</t>
  </si>
  <si>
    <t xml:space="preserve">/Users/jorgemunoz/Downloads/IH35-MASTER-RECONCILIATION/03-SETTLEMENTS/company-pdf/Company_Settlement_5803.pdf; explicit load header</t>
  </si>
  <si>
    <t xml:space="preserve">e4db0f3a-4203-4e30-9854-1f83071fa8e3, 3a678b7c-8f5a-4436-b3a5-2e71239ec3ff</t>
  </si>
  <si>
    <t xml:space="preserve">/Users/jorgemunoz/Downloads/IH35-MASTER-RECONCILIATION/03-SETTLEMENTS/company-pdf/Company_Settlement_5803.pdf; explicit driver PDF load</t>
  </si>
  <si>
    <t xml:space="preserve">cf6b46fb-5278-4fa1-b7b9-578936f93237</t>
  </si>
  <si>
    <t xml:space="preserve">f1eb73ee-d6c8-48f3-be2b-8a333d130ade, a22d8ee9-ebdb-40ca-95c6-539e6a972434</t>
  </si>
  <si>
    <t xml:space="preserve">/Users/jorgemunoz/Downloads/IH35-MASTER-RECONCILIATION/03-SETTLEMENTS/company-pdf/Company_Settlement_5803.pdf; unique date/vendor/receipt joins PDF fuel row</t>
  </si>
  <si>
    <t xml:space="preserve">fa1f8f01-7c4b-4be4-913b-79c9b22b1626, 0e886837-25af-4d6a-a705-eca11b1bf778</t>
  </si>
  <si>
    <t xml:space="preserve">13586</t>
  </si>
  <si>
    <t xml:space="preserve">cc62285f-ce88-4219-988d-17abfb3f56eb</t>
  </si>
  <si>
    <t xml:space="preserve">f6cec794-c3d3-472b-b8ec-34eff136458c</t>
  </si>
  <si>
    <t xml:space="preserve">f11ccb9a-c8a4-4652-8ed8-9fce5dac6cc5</t>
  </si>
  <si>
    <t xml:space="preserve">8c802d22-c0d6-41d3-92c0-3ac5e1a83160, 73a7324e-ae3b-4a9b-9df8-e3ee9443a926, 355242a7-5c4b-495d-ba60-91411bc2dd34, 611ea12d-c021-49f4-ad04-967911277197, 4fa60c58-9713-47b3-855a-10fee2977413</t>
  </si>
  <si>
    <t xml:space="preserve">App report margin 82.27; AT margin -608.89; signed variance +691.16</t>
  </si>
  <si>
    <t xml:space="preserve">Transaction differences: {"line haul": 300000}</t>
  </si>
  <si>
    <t xml:space="preserve">5804</t>
  </si>
  <si>
    <t xml:space="preserve">/Users/jorgemunoz/Downloads/IH35-MASTER-RECONCILIATION/03-SETTLEMENTS/company-pdf/Company_Settlement_5804.pdf</t>
  </si>
  <si>
    <t xml:space="preserve">86beb54b-7d88-4525-aca1-463cc6ffd09f</t>
  </si>
  <si>
    <t xml:space="preserve">13576</t>
  </si>
  <si>
    <t xml:space="preserve">/Users/jorgemunoz/Downloads/IH35-MASTER-RECONCILIATION/03-SETTLEMENTS/company-pdf/Company_Settlement_5804.pdf; explicit load header</t>
  </si>
  <si>
    <t xml:space="preserve">348e3abf-3010-4022-905a-f3857ab1d6b5</t>
  </si>
  <si>
    <t xml:space="preserve">d49d8507-0240-4721-a731-dbbc8faf4c58</t>
  </si>
  <si>
    <t xml:space="preserve">/Users/jorgemunoz/Downloads/IH35-MASTER-RECONCILIATION/03-SETTLEMENTS/company-pdf/Company_Settlement_5804.pdf; explicit driver PDF load</t>
  </si>
  <si>
    <t xml:space="preserve">2eaf4007-38ba-4d70-82cd-53fadff5f28a</t>
  </si>
  <si>
    <t xml:space="preserve">c963d20a-84bd-4c58-bc95-bbbe2ca8702f, c1140998-0a69-4d76-a882-d8d3a16b33dd, f4ea5e8c-8001-42ce-8f19-0e97362fb6ab, aa4f73b1-4322-49d1-9d1c-50b054f879ae, 3fc74942-1ac7-4047-8eb6-8d46e84cb8c9, c855b2d0-fbb8-441d-9ff7-3d8d33ca7180</t>
  </si>
  <si>
    <t xml:space="preserve">/Users/jorgemunoz/Downloads/IH35-MASTER-RECONCILIATION/03-SETTLEMENTS/company-pdf/Company_Settlement_5804.pdf; </t>
  </si>
  <si>
    <t xml:space="preserve">0b3fbfdb-cd3c-4631-bdf2-d5823a85c263, 6c35264d-382b-4733-afc5-cf9b1827abd7</t>
  </si>
  <si>
    <t xml:space="preserve">13594</t>
  </si>
  <si>
    <t xml:space="preserve">cd583788-ad7e-4a41-9eb4-292a73bdde21</t>
  </si>
  <si>
    <t xml:space="preserve">4ba2d94f-40e1-47e5-b337-2e97edf8d67f</t>
  </si>
  <si>
    <t xml:space="preserve">0e97c4fa-aa98-4c99-b04e-585919de98f1, e534a387-123d-4b58-a49b-3f6875d2f30e, 0d75062f-7f2d-435f-9a2e-0053ef724bd6</t>
  </si>
  <si>
    <t xml:space="preserve">/Users/jorgemunoz/Downloads/IH35-MASTER-RECONCILIATION/03-SETTLEMENTS/company-pdf/Company_Settlement_5804.pdf; unique date/vendor/receipt joins PDF fuel row</t>
  </si>
  <si>
    <t xml:space="preserve">7f791968-78e1-4f18-a717-83d0cc827725, 1bf1cb32-e08d-4018-967d-99a208001c7e, 05f5e25b-c62d-495c-9253-d8aac1ac8f12, 90f26304-3629-4e2e-af16-ebbc9ae9f856</t>
  </si>
  <si>
    <t xml:space="preserve">App report margin -5,074.57; AT margin 50.87; signed variance -5,125.44</t>
  </si>
  <si>
    <t xml:space="preserve">Transaction differences: {"expenses": 4774}</t>
  </si>
  <si>
    <t xml:space="preserve">5805</t>
  </si>
  <si>
    <t xml:space="preserve">/Users/jorgemunoz/Downloads/IH35-MASTER-RECONCILIATION/03-SETTLEMENTS/company-pdf/Company_Settlement_5805.pdf</t>
  </si>
  <si>
    <t xml:space="preserve">defca1cf-c92d-4047-a5ee-1de3275a8cd1</t>
  </si>
  <si>
    <t xml:space="preserve">13582</t>
  </si>
  <si>
    <t xml:space="preserve">/Users/jorgemunoz/Downloads/IH35-MASTER-RECONCILIATION/03-SETTLEMENTS/company-pdf/Company_Settlement_5805.pdf; explicit load header</t>
  </si>
  <si>
    <t xml:space="preserve">9058df4a-63ef-4f46-bd5c-7e8f3435633e</t>
  </si>
  <si>
    <t xml:space="preserve">6c813c81-b65a-4bda-af6e-66947161e773</t>
  </si>
  <si>
    <t xml:space="preserve">/Users/jorgemunoz/Downloads/IH35-MASTER-RECONCILIATION/03-SETTLEMENTS/company-pdf/Company_Settlement_5805.pdf; explicit driver PDF load</t>
  </si>
  <si>
    <t xml:space="preserve">2f709456-c6be-4666-b549-02793f4cc19f</t>
  </si>
  <si>
    <t xml:space="preserve">5714a81e-9128-41d0-a8da-d76e4b084532, 3244142a-b671-4a54-8a50-4097de80c6d4, 96fd06d1-fa6d-48f0-9561-7ee877239f1e</t>
  </si>
  <si>
    <t xml:space="preserve">/Users/jorgemunoz/Downloads/IH35-MASTER-RECONCILIATION/03-SETTLEMENTS/company-pdf/Company_Settlement_5805.pdf; unique date/vendor/receipt joins PDF fuel row</t>
  </si>
  <si>
    <t xml:space="preserve">b771a55e-56a5-4efb-a588-4c0a6c2cb32c, 3779aa8c-3760-4c88-8de6-1bf66c5f2e61, 78b92216-a040-46bd-bfa9-48ccf9b7ce5c, 76b44f9c-e0f0-471e-92ea-c4057c0dfcae</t>
  </si>
  <si>
    <t xml:space="preserve">13592</t>
  </si>
  <si>
    <t xml:space="preserve">06db1c07-34af-42a1-9891-712197a8d098</t>
  </si>
  <si>
    <t xml:space="preserve">40844eab-8c27-4b72-9134-f0db5865e003</t>
  </si>
  <si>
    <t xml:space="preserve">ad486159-7b51-42da-b276-3e3aca055370</t>
  </si>
  <si>
    <t xml:space="preserve">8271cc86-4043-4ec6-a08d-dbe4940f83af, 0bb96e74-5a4d-4af7-b9bf-509eaa1faee7, 5f8e7627-a55f-4dc7-9d5c-924d0da9b6e2</t>
  </si>
  <si>
    <t xml:space="preserve">86293e49-1874-4382-bd24-133b0791349f</t>
  </si>
  <si>
    <t xml:space="preserve">App report margin -1,494.32; AT margin 2,680.22; signed variance -4,174.54</t>
  </si>
  <si>
    <t xml:space="preserve">5806</t>
  </si>
  <si>
    <t xml:space="preserve">/Users/jorgemunoz/Downloads/IH35-MASTER-RECONCILIATION/03-SETTLEMENTS/company-pdf/Company_Settlement_5806.pdf</t>
  </si>
  <si>
    <t xml:space="preserve">c20ab06e-9368-46d0-a3e4-37b833f91400</t>
  </si>
  <si>
    <t xml:space="preserve">13581</t>
  </si>
  <si>
    <t xml:space="preserve">/Users/jorgemunoz/Downloads/IH35-MASTER-RECONCILIATION/03-SETTLEMENTS/company-pdf/Company_Settlement_5806.pdf; explicit load header</t>
  </si>
  <si>
    <t xml:space="preserve">d7fc1eb7-02e7-4312-b70f-64aa1d3f1147</t>
  </si>
  <si>
    <t xml:space="preserve">8292ad83-28d4-4317-a3cc-d461c1de44a3</t>
  </si>
  <si>
    <t xml:space="preserve">/Users/jorgemunoz/Downloads/IH35-MASTER-RECONCILIATION/03-SETTLEMENTS/company-pdf/Company_Settlement_5806.pdf; explicit driver PDF load</t>
  </si>
  <si>
    <t xml:space="preserve">879cc67f-0ce4-4e0f-8f7f-9d7bf88312c4</t>
  </si>
  <si>
    <t xml:space="preserve">d8a6e999-08bf-4f49-940e-b8f5745d71fa, 2bcd5fa5-50f5-4386-8339-68962252f32a, 5f862c56-26df-4136-a679-5c527fdbe802</t>
  </si>
  <si>
    <t xml:space="preserve">/Users/jorgemunoz/Downloads/IH35-MASTER-RECONCILIATION/03-SETTLEMENTS/company-pdf/Company_Settlement_5806.pdf; unique date/vendor/receipt joins PDF fuel row</t>
  </si>
  <si>
    <t xml:space="preserve">f1355408-d23d-4c96-8596-88a9d194e181, 2c0caef0-7b9c-43b3-8008-177a622d8d93, c9e6be08-bc13-44c7-a71b-6323f5c23300</t>
  </si>
  <si>
    <t xml:space="preserve">13591</t>
  </si>
  <si>
    <t xml:space="preserve">8367eb12-a093-42bd-9a93-8dc2b8046039</t>
  </si>
  <si>
    <t xml:space="preserve">1370211c-fe1d-40e9-8e5a-59ce45c6ee3d</t>
  </si>
  <si>
    <t xml:space="preserve">4defe0f8-6d45-4b94-9c3d-29e22a86aacf</t>
  </si>
  <si>
    <t xml:space="preserve">97cf539e-3cf6-4378-860f-850065571e7e, 372d90d9-dcb7-4cc7-ab9e-c06ae1072133, 7134600d-1e2c-4bec-9fcf-8a06073889f2</t>
  </si>
  <si>
    <t xml:space="preserve">7b4f7973-485d-4302-a04c-69c745662254, 63aea20d-8860-468c-8219-f837d50659e7, 53bb59e0-4887-446e-a5a3-ef95138c45fe, 82a0e15c-195b-4792-bd5e-139be180e664, 8af1c5a4-061d-4189-9c4e-e91e65217e8c, 68dd889b-9d02-44bc-9d88-9186d021d90a</t>
  </si>
  <si>
    <t xml:space="preserve">App report margin -2,421.59; AT margin 2,043.84; signed variance -4,465.43</t>
  </si>
  <si>
    <t xml:space="preserve">Transaction differences: {"expenses": 7442}</t>
  </si>
  <si>
    <t xml:space="preserve">5807</t>
  </si>
  <si>
    <t xml:space="preserve">/Users/jorgemunoz/Downloads/IH35-MASTER-RECONCILIATION/03-SETTLEMENTS/company-pdf/Company_Settlement_5807.pdf</t>
  </si>
  <si>
    <t xml:space="preserve">90197266-f0c3-40c9-962f-156416aa9376</t>
  </si>
  <si>
    <t xml:space="preserve">/Users/jorgemunoz/Downloads/IH35-MASTER-RECONCILIATION/03-SETTLEMENTS/company-pdf/Company_Settlement_5807.pdf; </t>
  </si>
  <si>
    <t xml:space="preserve">13578</t>
  </si>
  <si>
    <t xml:space="preserve">/Users/jorgemunoz/Downloads/IH35-MASTER-RECONCILIATION/03-SETTLEMENTS/company-pdf/Company_Settlement_5807.pdf; explicit load header</t>
  </si>
  <si>
    <t xml:space="preserve">eb8ff094-bb3d-42d2-b17b-8afcee3b3691</t>
  </si>
  <si>
    <t xml:space="preserve">f95ceee4-f627-4909-a2ca-4423cbf6ce48</t>
  </si>
  <si>
    <t xml:space="preserve">656ef324-30bf-4755-8c97-6f3be5b2fc2c, a791187c-ae23-4575-a486-60f7763138b8, f1edec04-3452-4989-9393-ba1c6cebf21d</t>
  </si>
  <si>
    <t xml:space="preserve">/Users/jorgemunoz/Downloads/IH35-MASTER-RECONCILIATION/03-SETTLEMENTS/company-pdf/Company_Settlement_5807.pdf; unique date/vendor/receipt joins PDF fuel row</t>
  </si>
  <si>
    <t xml:space="preserve">419535bf-429c-4033-bec9-5f77619af47d, 07a80429-6a74-41bd-a3b3-6332d1d4c360, 03fb791d-7bda-4947-8ac1-1e26720a6964, 2c0b2e56-fae8-4481-8a7a-96ed2ab42833, 1affe3a1-1da8-4f3d-9192-90a4e8ea7d81</t>
  </si>
  <si>
    <t xml:space="preserve">13585</t>
  </si>
  <si>
    <t xml:space="preserve">5b72c412-234c-4d13-aa04-ddcc4b174443</t>
  </si>
  <si>
    <t xml:space="preserve">e54b2118-635e-432b-8b12-ac583d3769e3</t>
  </si>
  <si>
    <t xml:space="preserve">/Users/jorgemunoz/Downloads/IH35-MASTER-RECONCILIATION/03-SETTLEMENTS/company-pdf/Company_Settlement_5807.pdf; explicit driver PDF load</t>
  </si>
  <si>
    <t xml:space="preserve">338d3612-5a4b-43d0-9e4f-f4ee6fe764c1</t>
  </si>
  <si>
    <t xml:space="preserve">63763c9d-0357-487c-b12a-8a0bf359a76a, 50fca6b3-9b9b-4d60-9e72-1ab3bbf06b40, d7cbf717-2062-4a5f-89c5-4682c985cec1, d93afd47-9800-4299-bfdc-a2190e6300b0</t>
  </si>
  <si>
    <t xml:space="preserve">fd7abc9a-8d35-4e7b-89ca-6732169f2805, 69dbed34-f9d9-43fd-969c-220e509de000, 64bf21d2-d01a-4822-94ae-e0e69041fd0b, b3b711a7-e733-4721-a5ac-9c2ba07d844d, 68bb707f-51a6-4473-813a-46f57913fd45</t>
  </si>
  <si>
    <t xml:space="preserve">13587</t>
  </si>
  <si>
    <t xml:space="preserve">e749cbf4-4311-47fb-af18-0e00e98cbbab</t>
  </si>
  <si>
    <t xml:space="preserve">4008aa58-62c6-423d-ad32-83614c713cb5</t>
  </si>
  <si>
    <t xml:space="preserve">0dbb49fe-6c2a-48d5-b236-11b1efc7960c, 6feede7e-8ecf-4511-8642-be21a2f5b1d1, 9ba81b5d-7f2a-48ad-87b6-3806e698960e, 50142793-a1db-48b5-9fc1-0339ae800b36</t>
  </si>
  <si>
    <t xml:space="preserve">d4fa22e9-f02d-4ddd-aed8-9b3c711e7c54</t>
  </si>
  <si>
    <t xml:space="preserve">App report margin -5,814.56; AT margin 2,312.47; signed variance -8,127.03</t>
  </si>
  <si>
    <t xml:space="preserve">Transaction differences: {"line haul": 660000, "fuel": 381596, "expenses": 88865}</t>
  </si>
  <si>
    <t xml:space="preserve">5808</t>
  </si>
  <si>
    <t xml:space="preserve">/Users/jorgemunoz/Downloads/IH35-MASTER-RECONCILIATION/03-SETTLEMENTS/company-pdf/Company_Settlement_5808.pdf</t>
  </si>
  <si>
    <t xml:space="preserve">aa2206a2-299d-4ccc-ac2a-c22c70196d94</t>
  </si>
  <si>
    <t xml:space="preserve">13597</t>
  </si>
  <si>
    <t xml:space="preserve">/Users/jorgemunoz/Downloads/IH35-MASTER-RECONCILIATION/03-SETTLEMENTS/company-pdf/Company_Settlement_5808.pdf; explicit load header</t>
  </si>
  <si>
    <t xml:space="preserve">20609978-1c7d-47b8-9963-8dfcc90cbf3c</t>
  </si>
  <si>
    <t xml:space="preserve">af2c7f35-10f4-47b5-b17c-90f369e0ffd9</t>
  </si>
  <si>
    <t xml:space="preserve">/Users/jorgemunoz/Downloads/IH35-MASTER-RECONCILIATION/03-SETTLEMENTS/company-pdf/Company_Settlement_5808.pdf; explicit driver PDF load</t>
  </si>
  <si>
    <t xml:space="preserve">aa4d640e-e556-46ca-8090-1bd501e94c0f</t>
  </si>
  <si>
    <t xml:space="preserve">d9cbd96a-972f-4c21-a824-12f1baf8664b, 257b2eb2-acf6-4044-9777-d86222e8149b, 4152c1fd-806e-4d98-bfdf-a8ecde27f8aa</t>
  </si>
  <si>
    <t xml:space="preserve">/Users/jorgemunoz/Downloads/IH35-MASTER-RECONCILIATION/03-SETTLEMENTS/company-pdf/Company_Settlement_5808.pdf; unique date/vendor/receipt joins PDF fuel row</t>
  </si>
  <si>
    <t xml:space="preserve">dda4a920-3500-482d-b8a2-6a87c4552ad3, 4e0dc993-715b-460f-bcb1-c2baae32e56a, b975fb64-ada7-4d79-98d7-1c6606c41e71, 3270ea4f-5348-42c7-b96d-8ebe6f2bbd1e, e71f84b7-6699-4395-be08-183f463a7e94</t>
  </si>
  <si>
    <t xml:space="preserve">13601</t>
  </si>
  <si>
    <t xml:space="preserve">70bc7404-b517-4805-8042-5bc79d9cf8c4</t>
  </si>
  <si>
    <t xml:space="preserve">4e777802-9daa-405f-bca8-c26d27ecfff3</t>
  </si>
  <si>
    <t xml:space="preserve">b13156e6-61fc-44c4-a937-9203fb375f92</t>
  </si>
  <si>
    <t xml:space="preserve">6d1455a9-aebb-4928-9132-4448b5f64da2, 2fca53d8-e170-4ca3-9efc-544ae91364fb</t>
  </si>
  <si>
    <t xml:space="preserve">44ddd72d-853a-4dae-963e-00ae716567b1, 9cddaa0d-a53c-46d4-99da-117562570608, 1e0b47c4-63de-49c7-a81e-b2b986c5700d, 7646b484-d744-458a-bcaf-f35a84ccf56c, 75812d78-8ec8-4b45-b2f8-eabd243527f0</t>
  </si>
  <si>
    <t xml:space="preserve">App report margin -3,432.75; AT margin 1,426.34; signed variance -4,859.09</t>
  </si>
  <si>
    <t xml:space="preserve">Transaction differences: {"expenses": 9689}</t>
  </si>
  <si>
    <t xml:space="preserve">5809</t>
  </si>
  <si>
    <t xml:space="preserve">/Users/jorgemunoz/Downloads/IH35-MASTER-RECONCILIATION/03-SETTLEMENTS/company-pdf/Company_Settlement_5809.pdf</t>
  </si>
  <si>
    <t xml:space="preserve">2b231797-6e22-4b59-9ab9-1c24e760b71f</t>
  </si>
  <si>
    <t xml:space="preserve">13583</t>
  </si>
  <si>
    <t xml:space="preserve">/Users/jorgemunoz/Downloads/IH35-MASTER-RECONCILIATION/03-SETTLEMENTS/company-pdf/Company_Settlement_5809.pdf; explicit load header</t>
  </si>
  <si>
    <t xml:space="preserve">33a781b6-9a2b-4436-b8f2-d0861c4f4108</t>
  </si>
  <si>
    <t xml:space="preserve">a1d6fb78-fff4-4285-9756-e4ecf6d50c96</t>
  </si>
  <si>
    <t xml:space="preserve">/Users/jorgemunoz/Downloads/IH35-MASTER-RECONCILIATION/03-SETTLEMENTS/company-pdf/Company_Settlement_5809.pdf; explicit driver PDF load</t>
  </si>
  <si>
    <t xml:space="preserve">359e247f-51d0-4ea9-bb1c-729e244a0272</t>
  </si>
  <si>
    <t xml:space="preserve">1440955a-0c93-4d67-8e10-d4db2c90d0dd, 19a720f2-5216-4567-9c7b-86b8cf026d96, 8ae8c1f8-a020-4d73-8219-a67a155e6a8c, 02e2725b-fdcd-4c11-921f-bdcb892161dc</t>
  </si>
  <si>
    <t xml:space="preserve">/Users/jorgemunoz/Downloads/IH35-MASTER-RECONCILIATION/03-SETTLEMENTS/company-pdf/Company_Settlement_5809.pdf; unique date/vendor/receipt joins PDF fuel row</t>
  </si>
  <si>
    <t xml:space="preserve">7f654604-5b49-45eb-a573-fc94d098f16a</t>
  </si>
  <si>
    <t xml:space="preserve">13598</t>
  </si>
  <si>
    <t xml:space="preserve">fa2df5c5-228c-48ec-8596-f3a9a5e90bf8</t>
  </si>
  <si>
    <t xml:space="preserve">c8a8d695-a890-47a3-9d18-de14c9b089e3</t>
  </si>
  <si>
    <t xml:space="preserve">902a7538-63b5-49ef-9f96-913a7170ef65, c95562ab-6e06-42d6-bdb1-cfcc7e374b43, 85a02a8a-7ae6-4c45-b7ca-9a573318c272</t>
  </si>
  <si>
    <t xml:space="preserve">09993408-acc4-4987-9dd2-178d04eb93a8, 0e032442-2b57-4e85-849c-51312bdf330f, ef7271fc-aab9-4cd7-8be3-062d8651afa3, 2a5dfd0a-03e2-47d2-933a-dd6629824c8f</t>
  </si>
  <si>
    <t xml:space="preserve">13606</t>
  </si>
  <si>
    <t xml:space="preserve">56bfd775-4646-46d6-9261-ae2fb734321b</t>
  </si>
  <si>
    <t xml:space="preserve">64e5e39d-8f5e-4c06-a7c7-ac4c8ff584b0</t>
  </si>
  <si>
    <t xml:space="preserve">c0bdb301-6140-4729-a1f0-61e532d40d49</t>
  </si>
  <si>
    <t xml:space="preserve">8f9d7f10-519c-4259-aca0-1b192f976d17</t>
  </si>
  <si>
    <t xml:space="preserve">8c45d581-1557-44a7-8f87-1d7c7afa6a45, f25d98dd-704d-456e-8a28-0e72135e5b64, dcb35ce7-5581-408c-bbf1-5b5c02201843, fcd65d4b-6df8-4779-a356-4c328b26cb46, ee3e88b1-ae4a-4f13-b830-b4fc86019960, 43d6d372-0fa7-4a88-b2e4-72a353ee8243</t>
  </si>
  <si>
    <t xml:space="preserve">App report margin -2,979.68; AT margin 3,193.98; signed variance -6,173.66</t>
  </si>
  <si>
    <t xml:space="preserve">Transaction differences: {"expenses": 12911}</t>
  </si>
  <si>
    <t xml:space="preserve">5810</t>
  </si>
  <si>
    <t xml:space="preserve">/Users/jorgemunoz/Downloads/IH35-MASTER-RECONCILIATION/03-SETTLEMENTS/company-pdf/Company_Settlement_5810.pdf</t>
  </si>
  <si>
    <t xml:space="preserve">208898eb-05f8-4aef-ab3d-5c53ce487962</t>
  </si>
  <si>
    <t xml:space="preserve">13590</t>
  </si>
  <si>
    <t xml:space="preserve">/Users/jorgemunoz/Downloads/IH35-MASTER-RECONCILIATION/03-SETTLEMENTS/company-pdf/Company_Settlement_5810.pdf; explicit load header</t>
  </si>
  <si>
    <t xml:space="preserve">3d1702b1-c944-439b-bacb-d89af128a6a1</t>
  </si>
  <si>
    <t xml:space="preserve">0f291124-631b-42e7-bfec-95c01d6476fa</t>
  </si>
  <si>
    <t xml:space="preserve">232e1cb0-b85c-4acb-aa81-87aea4d94aea, ae046e98-b691-42d7-b058-c051b028a650, 1c475e7d-aacc-4e53-80dc-49856ffa7c2a, 833d3bc3-5dd8-4eea-9327-1e730098cb3a</t>
  </si>
  <si>
    <t xml:space="preserve">/Users/jorgemunoz/Downloads/IH35-MASTER-RECONCILIATION/03-SETTLEMENTS/company-pdf/Company_Settlement_5810.pdf; unique date/vendor/receipt joins PDF fuel row</t>
  </si>
  <si>
    <t xml:space="preserve">48ec5887-441e-4e1e-ba0d-1947c404adce, e5d14d07-5c36-415e-a498-586a647339db, ff185d42-3040-43d0-9681-556bcc52ae77, c177db1b-be50-4deb-8de9-a92b17c35a89, 25425696-6ee7-41d4-aae1-4963022d1b80, bc5d3795-598f-4a6d-91cc-d2ab3c76eb15</t>
  </si>
  <si>
    <t xml:space="preserve">13599</t>
  </si>
  <si>
    <t xml:space="preserve">1543fd18-71df-436b-b184-c8658c8aa9e9</t>
  </si>
  <si>
    <t xml:space="preserve">0929d78a-c451-418b-a52b-555965e592e7</t>
  </si>
  <si>
    <t xml:space="preserve">/Users/jorgemunoz/Downloads/IH35-MASTER-RECONCILIATION/03-SETTLEMENTS/company-pdf/Company_Settlement_5810.pdf; explicit driver PDF load</t>
  </si>
  <si>
    <t xml:space="preserve">6faf5165-bcca-4c11-b92d-8fd20e195edc</t>
  </si>
  <si>
    <t xml:space="preserve">a9a53b06-948d-4e20-8725-ff32b1e6d46a, e94c7402-e148-4e57-ae33-627d30453b04, 775826c6-ca77-451b-a78e-ba996618e2a4</t>
  </si>
  <si>
    <t xml:space="preserve">c2bbcb91-9233-47a7-bfe9-58c90b5f8c59, baac3e4d-22a4-4c6a-a827-92eeb3bc3487, e474a6e6-02ca-46f1-bc15-2d6d4f64e4f8, f314313b-a247-49b7-926c-70e846481231, d64afb6b-2448-4920-bea1-8e438b7dee49, 481c91ea-7a5f-445b-8857-a57336b7b5a5, 4c3dd214-71d7-4911-acc9-79e8c12307f7, d046ac67-4516-4474-8c03-08c87c6923f1, 5837c255-3f83-439d-8afd-88f3cd70e070</t>
  </si>
  <si>
    <t xml:space="preserve">App report margin -3,200.95; AT margin 2,130.28; signed variance -5,331.23</t>
  </si>
  <si>
    <t xml:space="preserve">Transaction differences: {"expenses": 13257}</t>
  </si>
  <si>
    <t xml:space="preserve">5811</t>
  </si>
  <si>
    <t xml:space="preserve">/Users/jorgemunoz/Downloads/IH35-MASTER-RECONCILIATION/03-SETTLEMENTS/company-pdf/Company_Settlement_5811.pdf</t>
  </si>
  <si>
    <t xml:space="preserve">9c634549-c74e-4f0e-9777-513feb810d19</t>
  </si>
  <si>
    <t xml:space="preserve">13596</t>
  </si>
  <si>
    <t xml:space="preserve">/Users/jorgemunoz/Downloads/IH35-MASTER-RECONCILIATION/03-SETTLEMENTS/company-pdf/Company_Settlement_5811.pdf; explicit load header</t>
  </si>
  <si>
    <t xml:space="preserve">9d552733-9841-4b28-ba2c-23a6da9d7e2a</t>
  </si>
  <si>
    <t xml:space="preserve">2bebe08d-69a2-4f63-969e-4ab29f34abd9</t>
  </si>
  <si>
    <t xml:space="preserve">/Users/jorgemunoz/Downloads/IH35-MASTER-RECONCILIATION/03-SETTLEMENTS/company-pdf/Company_Settlement_5811.pdf; explicit driver PDF load</t>
  </si>
  <si>
    <t xml:space="preserve">ac167640-5b34-4eca-a402-7d5d747b95c2</t>
  </si>
  <si>
    <t xml:space="preserve">c6f344a4-a2ba-418e-b411-1cfb079e09bb, 263bb931-3c82-48c5-b990-e25a9a70274f, 730a1260-ba6c-4205-8f35-958eae699859</t>
  </si>
  <si>
    <t xml:space="preserve">/Users/jorgemunoz/Downloads/IH35-MASTER-RECONCILIATION/03-SETTLEMENTS/company-pdf/Company_Settlement_5811.pdf; unique date/vendor/receipt joins PDF fuel row</t>
  </si>
  <si>
    <t xml:space="preserve">57aad79f-ecf2-4c8a-a92f-9c0800cfa652, 63b3c825-99de-4117-b24e-b46f722037f1</t>
  </si>
  <si>
    <t xml:space="preserve">13603</t>
  </si>
  <si>
    <t xml:space="preserve">6169b9fa-b2ef-44de-816f-517a50b742d3</t>
  </si>
  <si>
    <t xml:space="preserve">049b39c1-8e79-4ad9-8c05-3ae7d701ae6d</t>
  </si>
  <si>
    <t xml:space="preserve">3f1b56c8-662e-4980-97de-1bdca67ac840</t>
  </si>
  <si>
    <t xml:space="preserve">f47ec17d-2234-4c0b-92f0-47e6261de4d2, f6cc746e-1003-4478-9b5e-2642f477df31, c79f0f34-0517-41e8-9d5f-41d77dfe6707, 1b3aa400-bc67-4fd0-9ae5-44b114596e7f</t>
  </si>
  <si>
    <t xml:space="preserve">79acfaba-2702-40bd-8ef7-67e57b3baccf, caa98efc-d51f-4baf-83dd-9ac518f6c70a, 5357240c-f449-441a-9dce-dc2f04813765, a8f17484-5ac5-4ae0-80ea-d23f9accf711, c7d31bcc-500d-493a-9dba-36c67ca317b5</t>
  </si>
  <si>
    <t xml:space="preserve">App report margin -3,556.38; AT margin 1,780.63; signed variance -5,337.01</t>
  </si>
  <si>
    <t xml:space="preserve">Transaction differences: {"expenses": 12099}</t>
  </si>
  <si>
    <t xml:space="preserve">5812</t>
  </si>
  <si>
    <t xml:space="preserve">/Users/jorgemunoz/Downloads/IH35-MASTER-RECONCILIATION/03-SETTLEMENTS/company-pdf/Company_Settlement_5812.pdf</t>
  </si>
  <si>
    <t xml:space="preserve">20745252-fe5a-4faf-a77c-2bd5affc90d7</t>
  </si>
  <si>
    <t xml:space="preserve">13588</t>
  </si>
  <si>
    <t xml:space="preserve">/Users/jorgemunoz/Downloads/IH35-MASTER-RECONCILIATION/03-SETTLEMENTS/company-pdf/Company_Settlement_5812.pdf; explicit load header</t>
  </si>
  <si>
    <t xml:space="preserve">4b8b5ca1-28c1-4781-bda5-62b86d56a392</t>
  </si>
  <si>
    <t xml:space="preserve">2a8047ca-801c-423a-adb9-53ad2fa372db, 94f585ea-e531-4203-ac57-cf328645417a</t>
  </si>
  <si>
    <t xml:space="preserve">03dc001a-d5b8-4db0-ba3e-eafaff3b9f66, dfefa810-bfeb-4d51-bd39-ba19525ba991, 70a12792-a595-4483-a869-5f4246d33989, d15c8014-df6c-4566-973a-e3e618b0efa5</t>
  </si>
  <si>
    <t xml:space="preserve">/Users/jorgemunoz/Downloads/IH35-MASTER-RECONCILIATION/03-SETTLEMENTS/company-pdf/Company_Settlement_5812.pdf; unique date/vendor/receipt joins PDF fuel row</t>
  </si>
  <si>
    <t xml:space="preserve">28937b48-da7b-4ba7-aa1e-83d407d63588, 7ff92a14-8875-473f-b2ce-ee58eaef5e95</t>
  </si>
  <si>
    <t xml:space="preserve">13600</t>
  </si>
  <si>
    <t xml:space="preserve">2cd9fbfc-0611-44bf-935e-3222c977eac9</t>
  </si>
  <si>
    <t xml:space="preserve">3ad9a0eb-a362-487a-be72-06fa2cdac011, 2e4dcd5e-c7da-4ce4-84ff-a912b4e632d9</t>
  </si>
  <si>
    <t xml:space="preserve">f78c12f7-c7d2-4589-a236-90ae65491351, 4bd4736c-35a5-4d4c-9aea-c7ce8f5143e8, b5ef689a-0ad4-427b-a7ec-5206ded14be3, 66a0aba6-af42-4cf8-a08d-8bf102093f95</t>
  </si>
  <si>
    <t xml:space="preserve">ca383aa9-1e87-4c44-8b0f-8d5d5a665781, 769fede0-638f-4809-99f1-15a3450aded3, 360a3a1b-911a-4ba3-adea-ccd4bd5ff551, f20fa208-b42f-4f09-a936-4fe9be25f1c0, 91824da3-f604-4a3a-baec-6ec448497891</t>
  </si>
  <si>
    <t xml:space="preserve">App report margin -3,289.47; AT margin 4,457.19; signed variance -7,746.66</t>
  </si>
  <si>
    <t xml:space="preserve">Transaction differences: {"driver pay": 172747, "expenses": 38000}</t>
  </si>
  <si>
    <t xml:space="preserve">5813</t>
  </si>
  <si>
    <t xml:space="preserve">/Users/jorgemunoz/Downloads/IH35-MASTER-RECONCILIATION/03-SETTLEMENTS/company-pdf/Company_Settlement_5813.pdf</t>
  </si>
  <si>
    <t xml:space="preserve">97d88e77-dd5c-4a6b-b3d8-acd8987e21eb</t>
  </si>
  <si>
    <t xml:space="preserve">13602</t>
  </si>
  <si>
    <t xml:space="preserve">/Users/jorgemunoz/Downloads/IH35-MASTER-RECONCILIATION/03-SETTLEMENTS/company-pdf/Company_Settlement_5813.pdf; explicit load header</t>
  </si>
  <si>
    <t xml:space="preserve">22976613-16a0-41f5-ad69-1b02269f5c9b</t>
  </si>
  <si>
    <t xml:space="preserve">cff47b75-dd81-4db4-bc52-65a581d6b2f8</t>
  </si>
  <si>
    <t xml:space="preserve">/Users/jorgemunoz/Downloads/IH35-MASTER-RECONCILIATION/03-SETTLEMENTS/company-pdf/Company_Settlement_5813.pdf; explicit driver PDF load</t>
  </si>
  <si>
    <t xml:space="preserve">36ebff37-b5c4-4d87-8ba8-1ccf80b43b9e</t>
  </si>
  <si>
    <t xml:space="preserve">b8fa8445-bd67-42d5-aeaa-c1dc7ccc2796, 43e621ca-8729-470f-a768-abea305c35b5, 66125847-86ca-4f8a-b6c1-52a06f93933f</t>
  </si>
  <si>
    <t xml:space="preserve">/Users/jorgemunoz/Downloads/IH35-MASTER-RECONCILIATION/03-SETTLEMENTS/company-pdf/Company_Settlement_5813.pdf; unique date/vendor/receipt joins PDF fuel row</t>
  </si>
  <si>
    <t xml:space="preserve">216807a3-6f40-4f2f-a8f5-daf181106a20, 8f33c5b4-2416-49ff-9919-06317dfd4832, e8ab1701-5d58-444f-990f-aa4ca59db438</t>
  </si>
  <si>
    <t xml:space="preserve">13607</t>
  </si>
  <si>
    <t xml:space="preserve">99725113-e08a-4d5e-bde4-5555f848f515</t>
  </si>
  <si>
    <t xml:space="preserve">306587ec-fe93-4e58-aa46-0313365feceb</t>
  </si>
  <si>
    <t xml:space="preserve">5d0e3e84-baa2-4f92-8271-85aa8864cef0</t>
  </si>
  <si>
    <t xml:space="preserve">f4fcfcc0-7cb2-452d-95bd-927e94a532ff, e213017b-865e-4333-a1fc-1bcf78ca8ebe, 1c98e31f-8e1b-4b36-9229-88751114c09a</t>
  </si>
  <si>
    <t xml:space="preserve">b3564099-2da7-470b-8d4e-651e1e73b3cc, 7286e06b-ed49-4bbc-b9a7-bdc605d928b5, 77663879-fb19-444a-8ca7-1b6d6fbcf54e</t>
  </si>
  <si>
    <t xml:space="preserve">App report margin -650.42; AT margin 3,435.27; signed variance -4,085.69</t>
  </si>
  <si>
    <t xml:space="preserve">5814</t>
  </si>
  <si>
    <t xml:space="preserve">/Users/jorgemunoz/Downloads/IH35-MASTER-RECONCILIATION/03-SETTLEMENTS/company-pdf/Company_Settlement_5814.pdf</t>
  </si>
  <si>
    <t xml:space="preserve">792e6d68-c951-48b0-b505-89de38e383e2</t>
  </si>
  <si>
    <t xml:space="preserve">13604</t>
  </si>
  <si>
    <t xml:space="preserve">/Users/jorgemunoz/Downloads/IH35-MASTER-RECONCILIATION/03-SETTLEMENTS/company-pdf/Company_Settlement_5814.pdf; explicit load header</t>
  </si>
  <si>
    <t xml:space="preserve">f82b80b1-148f-4f91-9267-41848d18f383</t>
  </si>
  <si>
    <t xml:space="preserve">8c3043d0-6d5f-4d8c-a947-2b4a8e8be1ad</t>
  </si>
  <si>
    <t xml:space="preserve">/Users/jorgemunoz/Downloads/IH35-MASTER-RECONCILIATION/03-SETTLEMENTS/company-pdf/Company_Settlement_5814.pdf; explicit driver PDF load</t>
  </si>
  <si>
    <t xml:space="preserve">452b0826-3852-4aa4-88a5-120a4c49c2d7</t>
  </si>
  <si>
    <t xml:space="preserve">e1f606f9-49b8-4db7-8bf7-feee72909ea6, 1740b115-92e3-4392-a08e-3f48df7d4ab3, 70d5e05c-d69e-4e6b-a2d4-854a7502f629</t>
  </si>
  <si>
    <t xml:space="preserve">/Users/jorgemunoz/Downloads/IH35-MASTER-RECONCILIATION/03-SETTLEMENTS/company-pdf/Company_Settlement_5814.pdf; unique date/vendor/receipt joins PDF fuel row</t>
  </si>
  <si>
    <t xml:space="preserve">815623ef-4d9e-48c4-bd53-5581a7692368, efe33e43-b440-479b-9354-1331feead4ad</t>
  </si>
  <si>
    <t xml:space="preserve">13608</t>
  </si>
  <si>
    <t xml:space="preserve">c320e1a1-b1ef-444a-8463-4c4560bd7af2</t>
  </si>
  <si>
    <t xml:space="preserve">97ae6d54-9a6b-4e57-83c4-2dda77028657</t>
  </si>
  <si>
    <t xml:space="preserve">cb4c9d1a-a70c-4efb-ba87-d998794ef9c6</t>
  </si>
  <si>
    <t xml:space="preserve">f5c25b6e-daa9-4de2-87c3-ac04848030a5, f4f7dea8-36d3-4a4f-bf0e-251b363f1c15</t>
  </si>
  <si>
    <t xml:space="preserve">44e31faf-cc5c-4e33-8e0b-7775ab2bdb60, 6ed98dc4-5df2-4465-8cce-f6f2cc944ca8</t>
  </si>
  <si>
    <t xml:space="preserve">App report margin -240.17; AT margin 3,307.99; signed variance -3,548.16</t>
  </si>
  <si>
    <t xml:space="preserve">5815</t>
  </si>
  <si>
    <t xml:space="preserve">/Users/jorgemunoz/Downloads/IH35-MASTER-RECONCILIATION/03-SETTLEMENTS/company-pdf/Company_Settlement_5815.pdf</t>
  </si>
  <si>
    <t xml:space="preserve">e44b672c-4223-41ba-8012-6cb280e1c2e2</t>
  </si>
  <si>
    <t xml:space="preserve">13605</t>
  </si>
  <si>
    <t xml:space="preserve">/Users/jorgemunoz/Downloads/IH35-MASTER-RECONCILIATION/03-SETTLEMENTS/company-pdf/Company_Settlement_5815.pdf; explicit load header</t>
  </si>
  <si>
    <t xml:space="preserve">50c9337f-8cf4-4a23-9cbd-9a94575e473b</t>
  </si>
  <si>
    <t xml:space="preserve">e993b4ab-1a19-4551-9e26-f334a57ef8da</t>
  </si>
  <si>
    <t xml:space="preserve">425792b4-4ef4-430d-a61a-6cd59831d763, 68573541-3856-437d-80ad-f6bb1c9dd622, 65764a38-1ff7-4064-aa0f-bb22c11e2de1</t>
  </si>
  <si>
    <t xml:space="preserve">/Users/jorgemunoz/Downloads/IH35-MASTER-RECONCILIATION/03-SETTLEMENTS/company-pdf/Company_Settlement_5815.pdf; unique date/vendor/receipt joins PDF fuel row</t>
  </si>
  <si>
    <t xml:space="preserve">83b4dd98-608d-4e80-aec4-3cbbe9561cb6, 1034d11d-b20d-4447-8d01-978d6c9a0ff6, 48505c60-76f2-4852-9540-9f5067971141</t>
  </si>
  <si>
    <t xml:space="preserve">13611</t>
  </si>
  <si>
    <t xml:space="preserve">065c3857-5d09-48ad-91aa-3fc58de06f94</t>
  </si>
  <si>
    <t xml:space="preserve">c31e14cc-280a-487a-b8f1-f2e13d36e4b4</t>
  </si>
  <si>
    <t xml:space="preserve">0c4c397a-6a5f-47a1-b5a9-7f16f1bd6948, d8ba9cf8-d0cf-443d-ab9f-c8979034f2a4, a27e46bf-a40a-4c81-bc6c-48cab39a5b35</t>
  </si>
  <si>
    <t xml:space="preserve">c93de0eb-f147-4f45-a0db-a0689259cae8, a6ac0cf3-c808-4a94-88cc-fdf51cd1c060, 14bc9021-74e6-435e-828d-f8495f3d758e</t>
  </si>
  <si>
    <t xml:space="preserve">App report margin -3,044.19; AT margin 1,088.81; signed variance -4,133.00</t>
  </si>
  <si>
    <t xml:space="preserve">5816</t>
  </si>
  <si>
    <t xml:space="preserve">/Users/jorgemunoz/Downloads/IH35-MASTER-RECONCILIATION/03-SETTLEMENTS/company-pdf/Company_Settlement_5816.pdf</t>
  </si>
  <si>
    <t xml:space="preserve">a1538a4b-abf2-4ec4-b0b5-65fa91d407ed</t>
  </si>
  <si>
    <t xml:space="preserve">13595</t>
  </si>
  <si>
    <t xml:space="preserve">/Users/jorgemunoz/Downloads/IH35-MASTER-RECONCILIATION/03-SETTLEMENTS/company-pdf/Company_Settlement_5816.pdf; explicit load header</t>
  </si>
  <si>
    <t xml:space="preserve">2b163148-4c67-4556-8c6b-2126cd93ddb0</t>
  </si>
  <si>
    <t xml:space="preserve">App report margin 0.00; AT margin 1,500.00; signed variance -1,500.00 | App report omits load because it reads settlement_lines only; this comparison uses the real driver settlement header load FK.</t>
  </si>
  <si>
    <t xml:space="preserve">RANKED FINDINGS — classes overlap; dollars are labelled below</t>
  </si>
  <si>
    <t xml:space="preserve">Class</t>
  </si>
  <si>
    <t xml:space="preserve">Settlement count</t>
  </si>
  <si>
    <t xml:space="preserve">Dollar measure</t>
  </si>
  <si>
    <t xml:space="preserve">Dollars</t>
  </si>
  <si>
    <t xml:space="preserve">Disjoint transaction concept variance; margin listed separately</t>
  </si>
  <si>
    <t xml:space="preserve">Supported lower-bound amount misplaced; net settlement variance zero</t>
  </si>
  <si>
    <t xml:space="preserve">Transportation-shared</t>
  </si>
  <si>
    <t xml:space="preserve">Excluded AT-only revenue, not variance</t>
  </si>
  <si>
    <t xml:space="preserve">Concept and quantity match</t>
  </si>
  <si>
    <t xml:space="preserve">All seven concepts incl margin</t>
  </si>
  <si>
    <t xml:space="preserve">AUTH-089 class</t>
  </si>
  <si>
    <t xml:space="preserve">Outstanding repeated-charge shortage</t>
  </si>
  <si>
    <t xml:space="preserve">Differences by concept — rank by dollars</t>
  </si>
  <si>
    <t xml:space="preserve">Absolute dollars</t>
  </si>
  <si>
    <t xml:space="preserve">Margin: requested magnitude comparison</t>
  </si>
  <si>
    <t xml:space="preserve">Separate from transaction variance</t>
  </si>
  <si>
    <t xml:space="preserve">Margin: signed profit/loss comparison</t>
  </si>
  <si>
    <t xml:space="preserve">Driver NET PAY fresh audit</t>
  </si>
  <si>
    <t xml:space="preserve">Green; one red 5812. Closed driver tab preserved.</t>
  </si>
  <si>
    <t xml:space="preserve">5782 provenance</t>
  </si>
  <si>
    <t xml:space="preserve">Downloaded from AlwaysTrack company PDF document ID 1954504</t>
  </si>
  <si>
    <t xml:space="preserve">https://awtrack.com/webapp/accounting/settlements/settlementsPDFCompany.php?id=1954504</t>
  </si>
  <si>
    <t xml:space="preserve">PDF SHA256 bc79a1cd4dd878fa1b3e125d538982355e774e5da9999dd2c143352f1b703570. All 400 text tokens equal archived text ignoring order; no original PDF exists in deduped folder for byte comparison.</t>
  </si>
  <si>
    <t xml:space="preserve">ROUND 268 FORMULA EXPLANATION</t>
  </si>
  <si>
    <t xml:space="preserve">Extra pay alone explains 0/48 report margin differences. The PDF already subtracts Additional Driver Pay. See round268-margin-attribution.json and the Round 268 report for exact term decomposition.</t>
  </si>
  <si>
    <t xml:space="preserve">NET PAY match (Round 268)</t>
  </si>
  <si>
    <t xml:space="preserve">Concept</t>
  </si>
  <si>
    <t xml:space="preserve">Difference / class</t>
  </si>
  <si>
    <t xml:space="preserve">gross pay</t>
  </si>
  <si>
    <t xml:space="preserve">$1,155.52</t>
  </si>
  <si>
    <t xml:space="preserve">total deductions</t>
  </si>
  <si>
    <t xml:space="preserve">$60.00</t>
  </si>
  <si>
    <t xml:space="preserve">net pay</t>
  </si>
  <si>
    <t xml:space="preserve">$1,095.52</t>
  </si>
  <si>
    <t xml:space="preserve">NET PAY matches. Other field observations retained: No issues.</t>
  </si>
  <si>
    <t xml:space="preserve">$1,907.50</t>
  </si>
  <si>
    <t xml:space="preserve">$2,007.50</t>
  </si>
  <si>
    <t xml:space="preserve">+100.00</t>
  </si>
  <si>
    <t xml:space="preserve">$10.00</t>
  </si>
  <si>
    <t xml:space="preserve">$1,997.50</t>
  </si>
  <si>
    <t xml:space="preserve">NET PAY matches. Other field observations retained: gross pay: AT $1,907.50 / App $2,007.50 (diff +100.00)</t>
  </si>
  <si>
    <t xml:space="preserve">Genuine amount differences</t>
  </si>
  <si>
    <t xml:space="preserve">$1,909.10</t>
  </si>
  <si>
    <t xml:space="preserve">$1,959.10</t>
  </si>
  <si>
    <t xml:space="preserve">+50.00</t>
  </si>
  <si>
    <t xml:space="preserve">$1,949.10</t>
  </si>
  <si>
    <t xml:space="preserve">NET PAY matches. Other field observations retained: gross pay: AT $1,909.10 / App $1,959.10 (diff +50.00)</t>
  </si>
  <si>
    <t xml:space="preserve">$1,381.83</t>
  </si>
  <si>
    <t xml:space="preserve">$1,481.83</t>
  </si>
  <si>
    <t xml:space="preserve">$500.00</t>
  </si>
  <si>
    <t xml:space="preserve">$997.08</t>
  </si>
  <si>
    <t xml:space="preserve">NET PAY matches. Other field observations retained: gross pay: AT $1,381.83 / App $1,481.83 (diff +100.00)</t>
  </si>
  <si>
    <t xml:space="preserve">$1,897.52</t>
  </si>
  <si>
    <t xml:space="preserve">$1,837.52</t>
  </si>
  <si>
    <t xml:space="preserve">$1,051.95</t>
  </si>
  <si>
    <t xml:space="preserve">$1,167.42</t>
  </si>
  <si>
    <t xml:space="preserve">+115.47</t>
  </si>
  <si>
    <t xml:space="preserve">$1,107.42</t>
  </si>
  <si>
    <t xml:space="preserve">NET PAY matches. Other field observations retained: gross pay: AT $1,051.95 / App $1,167.42 (diff +115.47)</t>
  </si>
  <si>
    <t xml:space="preserve">$1,304.15</t>
  </si>
  <si>
    <t xml:space="preserve">$1,404.15</t>
  </si>
  <si>
    <t xml:space="preserve">$233.00</t>
  </si>
  <si>
    <t xml:space="preserve">$1,186.40</t>
  </si>
  <si>
    <t xml:space="preserve">NET PAY matches. Other field observations retained: gross pay: AT $1,304.15 / App $1,404.15 (diff +100.00)</t>
  </si>
  <si>
    <t xml:space="preserve">$1,203.89</t>
  </si>
  <si>
    <t xml:space="preserve">$1,303.89</t>
  </si>
  <si>
    <t xml:space="preserve">$85.00</t>
  </si>
  <si>
    <t xml:space="preserve">$1,280.39</t>
  </si>
  <si>
    <t xml:space="preserve">NET PAY matches. Other field observations retained: gross pay: AT $1,203.89 / App $1,303.89 (diff +100.00)</t>
  </si>
  <si>
    <t xml:space="preserve">$1,908.00</t>
  </si>
  <si>
    <t xml:space="preserve">$1,958.00</t>
  </si>
  <si>
    <t xml:space="preserve">$1,948.00</t>
  </si>
  <si>
    <t xml:space="preserve">NET PAY matches. Other field observations retained: gross pay: AT $1,908.00 / App $1,958.00 (diff +50.00)</t>
  </si>
  <si>
    <t xml:space="preserve">$1,440.01</t>
  </si>
  <si>
    <t xml:space="preserve">$1,490.01</t>
  </si>
  <si>
    <t xml:space="preserve">$260.00</t>
  </si>
  <si>
    <t xml:space="preserve">$1,245.26</t>
  </si>
  <si>
    <t xml:space="preserve">NET PAY matches. Other field observations retained: gross pay: AT $1,440.01 / App $1,490.01 (diff +50.00)</t>
  </si>
  <si>
    <t xml:space="preserve">$1,420.66</t>
  </si>
  <si>
    <t xml:space="preserve">$1,447.66</t>
  </si>
  <si>
    <t xml:space="preserve">+27.00</t>
  </si>
  <si>
    <t xml:space="preserve">$1,387.66</t>
  </si>
  <si>
    <t xml:space="preserve">NET PAY matches. Other field observations retained: gross pay: AT $1,420.66 / App $1,447.66 (diff +27.00)</t>
  </si>
  <si>
    <t xml:space="preserve">$300.00</t>
  </si>
  <si>
    <t xml:space="preserve">$0.00</t>
  </si>
  <si>
    <t xml:space="preserve">$1,280.31</t>
  </si>
  <si>
    <t xml:space="preserve">$1,220.31</t>
  </si>
  <si>
    <t xml:space="preserve">$1,489.11</t>
  </si>
  <si>
    <t xml:space="preserve">$1,532.11</t>
  </si>
  <si>
    <t xml:space="preserve">+43.00</t>
  </si>
  <si>
    <t xml:space="preserve">$75.25</t>
  </si>
  <si>
    <t xml:space="preserve">$1,456.86</t>
  </si>
  <si>
    <t xml:space="preserve">NET PAY matches. Other field observations retained: gross pay: AT $1,489.11 / App $1,532.11 (diff +43.00)</t>
  </si>
  <si>
    <t xml:space="preserve">$1,906.25</t>
  </si>
  <si>
    <t xml:space="preserve">$2,081.25</t>
  </si>
  <si>
    <t xml:space="preserve">+175.00</t>
  </si>
  <si>
    <t xml:space="preserve">$2,071.25</t>
  </si>
  <si>
    <t xml:space="preserve">NET PAY matches. Other field observations retained: gross pay: AT $1,906.25 / App $2,081.25 (diff +175.00)</t>
  </si>
  <si>
    <t xml:space="preserve">$1,662.94</t>
  </si>
  <si>
    <t xml:space="preserve">$1,837.28</t>
  </si>
  <si>
    <t xml:space="preserve">+174.34</t>
  </si>
  <si>
    <t xml:space="preserve">$1,752.28</t>
  </si>
  <si>
    <t xml:space="preserve">NET PAY matches. Other field observations retained: gross pay: AT $1,662.94 / App $1,837.28 (diff +174.34)</t>
  </si>
  <si>
    <t xml:space="preserve">$1,523.67</t>
  </si>
  <si>
    <t xml:space="preserve">$1,633.67</t>
  </si>
  <si>
    <t xml:space="preserve">+110.00</t>
  </si>
  <si>
    <t xml:space="preserve">$386.99</t>
  </si>
  <si>
    <t xml:space="preserve">$1,246.68</t>
  </si>
  <si>
    <t xml:space="preserve">NET PAY matches. Other field observations retained: gross pay: AT $1,523.67 / App $1,633.67 (diff +110.00)</t>
  </si>
  <si>
    <t xml:space="preserve">$1,039.05</t>
  </si>
  <si>
    <t xml:space="preserve">$1,000.72</t>
  </si>
  <si>
    <t xml:space="preserve">$1,097.72</t>
  </si>
  <si>
    <t xml:space="preserve">+97.00</t>
  </si>
  <si>
    <t xml:space="preserve">$211.99</t>
  </si>
  <si>
    <t xml:space="preserve">$885.73</t>
  </si>
  <si>
    <t xml:space="preserve">NET PAY matches. Other field observations retained: gross pay: AT $1,000.72 / App $1,097.72 (diff +97.00)</t>
  </si>
  <si>
    <t xml:space="preserve">$1,725.89</t>
  </si>
  <si>
    <t xml:space="preserve">$451.99</t>
  </si>
  <si>
    <t xml:space="preserve">$1,273.90</t>
  </si>
  <si>
    <t xml:space="preserve">$1,925.85</t>
  </si>
  <si>
    <t xml:space="preserve">$2,025.85</t>
  </si>
  <si>
    <t xml:space="preserve">$2,015.85</t>
  </si>
  <si>
    <t xml:space="preserve">NET PAY matches. Other field observations retained: gross pay: AT $1,925.85 / App $2,025.85 (diff +100.00)</t>
  </si>
  <si>
    <t xml:space="preserve">$1,512.75</t>
  </si>
  <si>
    <t xml:space="preserve">$1,452.75</t>
  </si>
  <si>
    <t xml:space="preserve">$1,690.03</t>
  </si>
  <si>
    <t xml:space="preserve">$1,630.03</t>
  </si>
  <si>
    <t xml:space="preserve">$1,738.05</t>
  </si>
  <si>
    <t xml:space="preserve">$352.00</t>
  </si>
  <si>
    <t xml:space="preserve">$1,386.05</t>
  </si>
  <si>
    <t xml:space="preserve">$1,486.65</t>
  </si>
  <si>
    <t xml:space="preserve">$1,548.41</t>
  </si>
  <si>
    <t xml:space="preserve">+61.76</t>
  </si>
  <si>
    <t xml:space="preserve">$1,568.91</t>
  </si>
  <si>
    <t xml:space="preserve">NET PAY matches. Other field observations retained: gross pay: AT $1,486.65 / App $1,548.41 (diff +61.76)</t>
  </si>
  <si>
    <t xml:space="preserve">$1,288.84</t>
  </si>
  <si>
    <t xml:space="preserve">$1,360.30</t>
  </si>
  <si>
    <t xml:space="preserve">+71.46</t>
  </si>
  <si>
    <t xml:space="preserve">$1,330.60</t>
  </si>
  <si>
    <t xml:space="preserve">NET PAY matches. Other field observations retained: gross pay: AT $1,288.84 / App $1,360.30 (diff +71.46)</t>
  </si>
  <si>
    <t xml:space="preserve">$1,051.03</t>
  </si>
  <si>
    <t xml:space="preserve">$261.99</t>
  </si>
  <si>
    <t xml:space="preserve">$789.04</t>
  </si>
  <si>
    <t xml:space="preserve">$379.73</t>
  </si>
  <si>
    <t xml:space="preserve">S-5797</t>
  </si>
  <si>
    <t xml:space="preserve">$1,416.85</t>
  </si>
  <si>
    <t xml:space="preserve">$1,554.48</t>
  </si>
  <si>
    <t xml:space="preserve">+137.63</t>
  </si>
  <si>
    <t xml:space="preserve">$1,544.48</t>
  </si>
  <si>
    <t xml:space="preserve">NET PAY matches. Other field observations retained: gross pay: AT $1,416.85 / App $1,554.48 (diff +137.63)</t>
  </si>
  <si>
    <t xml:space="preserve">S-5798</t>
  </si>
  <si>
    <t xml:space="preserve">$987.85</t>
  </si>
  <si>
    <t xml:space="preserve">$927.85</t>
  </si>
  <si>
    <t xml:space="preserve">S-5799</t>
  </si>
  <si>
    <t xml:space="preserve">$1,902.65</t>
  </si>
  <si>
    <t xml:space="preserve">$2,533.91</t>
  </si>
  <si>
    <t xml:space="preserve">+631.26</t>
  </si>
  <si>
    <t xml:space="preserve">$2,523.91</t>
  </si>
  <si>
    <t xml:space="preserve">NET PAY matches. Other field observations retained: gross pay: AT $1,902.65 / App $2,533.91 (diff +631.26)</t>
  </si>
  <si>
    <t xml:space="preserve">S-5800</t>
  </si>
  <si>
    <t xml:space="preserve">$1,462.10</t>
  </si>
  <si>
    <t xml:space="preserve">$1,662.10</t>
  </si>
  <si>
    <t xml:space="preserve">+200.00</t>
  </si>
  <si>
    <t xml:space="preserve">$285.00</t>
  </si>
  <si>
    <t xml:space="preserve">$1,407.40</t>
  </si>
  <si>
    <t xml:space="preserve">NET PAY matches. Other field observations retained: gross pay: AT $1,462.10 / App $1,662.10 (diff +200.00)</t>
  </si>
  <si>
    <t xml:space="preserve">S-5801</t>
  </si>
  <si>
    <t xml:space="preserve">$1,508.27</t>
  </si>
  <si>
    <t xml:space="preserve">$1,558.27</t>
  </si>
  <si>
    <t xml:space="preserve">$1,334.02</t>
  </si>
  <si>
    <t xml:space="preserve">NET PAY matches. Other field observations retained: gross pay: AT $1,508.27 / App $1,558.27 (diff +50.00)</t>
  </si>
  <si>
    <t xml:space="preserve">S-5802</t>
  </si>
  <si>
    <t xml:space="preserve">$1,954.85</t>
  </si>
  <si>
    <t xml:space="preserve">$2,114.84</t>
  </si>
  <si>
    <t xml:space="preserve">+159.99</t>
  </si>
  <si>
    <t xml:space="preserve">$2,104.84</t>
  </si>
  <si>
    <t xml:space="preserve">NET PAY matches. Other field observations retained: gross pay: AT $1,954.85 / App $2,114.84 (diff +159.99)</t>
  </si>
  <si>
    <t xml:space="preserve">S-5803</t>
  </si>
  <si>
    <t xml:space="preserve">$1,459.05</t>
  </si>
  <si>
    <t xml:space="preserve">$1,684.05</t>
  </si>
  <si>
    <t xml:space="preserve">+225.00</t>
  </si>
  <si>
    <t xml:space="preserve">$1,624.05</t>
  </si>
  <si>
    <t xml:space="preserve">NET PAY matches. Other field observations retained: gross pay: AT $1,459.05 / App $1,684.05 (diff +225.00)</t>
  </si>
  <si>
    <t xml:space="preserve">S-5804</t>
  </si>
  <si>
    <t xml:space="preserve">$1,645.83</t>
  </si>
  <si>
    <t xml:space="preserve">$1,601.08</t>
  </si>
  <si>
    <t xml:space="preserve">S-5805</t>
  </si>
  <si>
    <t xml:space="preserve">$2,012.65</t>
  </si>
  <si>
    <t xml:space="preserve">$2,002.65</t>
  </si>
  <si>
    <t xml:space="preserve">NET PAY matches. Other field observations retained: gross pay: AT $1,902.65 / App $2,012.65 (diff +110.00)</t>
  </si>
  <si>
    <t xml:space="preserve">S-5806</t>
  </si>
  <si>
    <t xml:space="preserve">$1,918.15</t>
  </si>
  <si>
    <t xml:space="preserve">$2,018.15</t>
  </si>
  <si>
    <t xml:space="preserve">$2,008.15</t>
  </si>
  <si>
    <t xml:space="preserve">NET PAY matches. Other field observations retained: gross pay: AT $1,918.15 / App $2,018.15 (diff +100.00)</t>
  </si>
  <si>
    <t xml:space="preserve">S-5807</t>
  </si>
  <si>
    <t xml:space="preserve">$2,017.05</t>
  </si>
  <si>
    <t xml:space="preserve">$2,067.05</t>
  </si>
  <si>
    <t xml:space="preserve">$365.00</t>
  </si>
  <si>
    <t xml:space="preserve">$1,702.05</t>
  </si>
  <si>
    <t xml:space="preserve">NET PAY matches. Other field observations retained: gross pay: AT $2,017.05 / App $2,067.05 (diff +50.00)</t>
  </si>
  <si>
    <t xml:space="preserve">S-5808</t>
  </si>
  <si>
    <t xml:space="preserve">$1,901.25</t>
  </si>
  <si>
    <t xml:space="preserve">$2,011.25</t>
  </si>
  <si>
    <t xml:space="preserve">$2,001.25</t>
  </si>
  <si>
    <t xml:space="preserve">NET PAY matches. Other field observations retained: gross pay: AT $1,901.25 / App $2,011.25 (diff +110.00)</t>
  </si>
  <si>
    <t xml:space="preserve">S-5809</t>
  </si>
  <si>
    <t xml:space="preserve">$1,965.97</t>
  </si>
  <si>
    <t xml:space="preserve">$2,160.97</t>
  </si>
  <si>
    <t xml:space="preserve">+195.00</t>
  </si>
  <si>
    <t xml:space="preserve">$2,075.97</t>
  </si>
  <si>
    <t xml:space="preserve">NET PAY matches. Other field observations retained: gross pay: AT $1,965.97 / App $2,160.97 (diff +195.00)</t>
  </si>
  <si>
    <t xml:space="preserve">S-5810</t>
  </si>
  <si>
    <t xml:space="preserve">$1,710.77</t>
  </si>
  <si>
    <t xml:space="preserve">$1,760.77</t>
  </si>
  <si>
    <t xml:space="preserve">$1,700.77</t>
  </si>
  <si>
    <t xml:space="preserve">NET PAY matches. Other field observations retained: gross pay: AT $1,710.77 / App $1,760.77 (diff +50.00)</t>
  </si>
  <si>
    <t xml:space="preserve">S-5811</t>
  </si>
  <si>
    <t xml:space="preserve">$1,899.35</t>
  </si>
  <si>
    <t xml:space="preserve">$2,024.35</t>
  </si>
  <si>
    <t xml:space="preserve">+125.00</t>
  </si>
  <si>
    <t xml:space="preserve">$1,964.35</t>
  </si>
  <si>
    <t xml:space="preserve">NET PAY matches. Other field observations retained: gross pay: AT $1,899.35 / App $2,024.35 (diff +125.00)</t>
  </si>
  <si>
    <t xml:space="preserve">S-5812</t>
  </si>
  <si>
    <t xml:space="preserve">$1,727.47</t>
  </si>
  <si>
    <t xml:space="preserve">+1,727.47</t>
  </si>
  <si>
    <t xml:space="preserve">$50.00</t>
  </si>
  <si>
    <t xml:space="preserve">$225.00</t>
  </si>
  <si>
    <t xml:space="preserve">$1,502.47</t>
  </si>
  <si>
    <t xml:space="preserve">NET PAY differs (known 5812 defect). Other field observations retained: gross pay: AT $0.00 / App $1,727.47 (diff +1,727.47); total deductions: AT $50.00 / App $225.00 (diff +175.00)</t>
  </si>
  <si>
    <t xml:space="preserve">S-5813</t>
  </si>
  <si>
    <t xml:space="preserve">$1,896.05</t>
  </si>
  <si>
    <t xml:space="preserve">$1,996.05</t>
  </si>
  <si>
    <t xml:space="preserve">$1,986.05</t>
  </si>
  <si>
    <t xml:space="preserve">NET PAY matches. Other field observations retained: gross pay: AT $1,896.05 / App $1,996.05 (diff +100.00)</t>
  </si>
  <si>
    <t xml:space="preserve">S-5814</t>
  </si>
  <si>
    <t xml:space="preserve">$1,992.65</t>
  </si>
  <si>
    <t xml:space="preserve">NET PAY matches. Other field observations retained: gross pay: AT $1,902.65 / App $2,002.65 (diff +100.00)</t>
  </si>
  <si>
    <t xml:space="preserve">S-5815</t>
  </si>
  <si>
    <t xml:space="preserve">$1,266.10</t>
  </si>
  <si>
    <t xml:space="preserve">$1,206.10</t>
  </si>
  <si>
    <t xml:space="preserve">S-5816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</si>
</sst>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$0.00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72B4D"/>
      <name val="Arial"/>
      <family val="0"/>
      <charset val="1"/>
    </font>
    <font>
      <b val="true"/>
      <sz val="10"/>
      <color rgb="FF172B4D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3553"/>
        <bgColor rgb="FF172B4D"/>
      </patternFill>
    </fill>
    <fill>
      <patternFill patternType="solid">
        <fgColor rgb="FFD5E8D4"/>
        <bgColor rgb="FFC6EFCE"/>
      </patternFill>
    </fill>
    <fill>
      <patternFill patternType="solid">
        <fgColor rgb="FFF8CECC"/>
        <bgColor rgb="FFF4CCCC"/>
      </patternFill>
    </fill>
    <fill>
      <patternFill patternType="solid">
        <fgColor rgb="FFEFEFEF"/>
        <bgColor rgb="FFFFFFFF"/>
      </patternFill>
    </fill>
    <fill>
      <patternFill patternType="solid">
        <fgColor rgb="FF1F4E78"/>
        <bgColor rgb="FF163553"/>
      </patternFill>
    </fill>
    <fill>
      <patternFill patternType="solid">
        <fgColor rgb="FFC6EFCE"/>
        <bgColor rgb="FFD5E8D4"/>
      </patternFill>
    </fill>
    <fill>
      <patternFill patternType="solid">
        <fgColor rgb="FFF4CCCC"/>
        <bgColor rgb="FFF8CE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6355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D5E8D4"/>
      <rgbColor rgb="FF660066"/>
      <rgbColor rgb="FFFF8080"/>
      <rgbColor rgb="FF0066CC"/>
      <rgbColor rgb="FFF4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553"/>
      <rgbColor rgb="FF339966"/>
      <rgbColor rgb="FF003300"/>
      <rgbColor rgb="FF333300"/>
      <rgbColor rgb="FF993300"/>
      <rgbColor rgb="FF993366"/>
      <rgbColor rgb="FF1F4E78"/>
      <rgbColor rgb="FF172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9"/>
    <col collapsed="false" customWidth="true" hidden="false" outlineLevel="0" max="4" min="4" style="1" width="28"/>
    <col collapsed="false" customWidth="true" hidden="false" outlineLevel="0" max="5" min="5" style="1" width="20"/>
    <col collapsed="false" customWidth="true" hidden="false" outlineLevel="0" max="6" min="6" style="1" width="28"/>
    <col collapsed="false" customWidth="true" hidden="false" outlineLevel="0" max="7" min="7" style="1" width="20"/>
    <col collapsed="false" customWidth="true" hidden="false" outlineLevel="0" max="8" min="8" style="1" width="26"/>
    <col collapsed="false" customWidth="true" hidden="false" outlineLevel="0" max="9" min="9" style="1" width="24"/>
    <col collapsed="false" customWidth="true" hidden="false" outlineLevel="0" max="10" min="10" style="1" width="48"/>
    <col collapsed="false" customWidth="true" hidden="false" outlineLevel="0" max="11" min="11" style="1" width="26"/>
    <col collapsed="false" customWidth="true" hidden="false" outlineLevel="0" max="13" min="12" style="1" width="65"/>
    <col collapsed="false" customWidth="true" hidden="false" outlineLevel="0" max="14" min="14" style="1" width="95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23.25" hidden="false" customHeight="true" outlineLevel="0" collapsed="false">
      <c r="A2" s="3" t="s">
        <v>14</v>
      </c>
      <c r="B2" s="3" t="s">
        <v>14</v>
      </c>
      <c r="C2" s="4" t="s">
        <v>15</v>
      </c>
      <c r="D2" s="3" t="s">
        <v>16</v>
      </c>
      <c r="E2" s="5" t="n">
        <v>6300</v>
      </c>
      <c r="F2" s="3" t="s">
        <v>16</v>
      </c>
      <c r="G2" s="5" t="n">
        <v>6300</v>
      </c>
      <c r="H2" s="5" t="n">
        <f aca="false">ROUND(ABS(G2)-ABS(E2),2)</f>
        <v>0</v>
      </c>
      <c r="I2" s="3" t="s">
        <v>17</v>
      </c>
      <c r="J2" s="3" t="s">
        <v>18</v>
      </c>
      <c r="K2" s="3"/>
      <c r="L2" s="3" t="s">
        <v>19</v>
      </c>
      <c r="M2" s="3" t="s">
        <v>20</v>
      </c>
      <c r="N2" s="3"/>
    </row>
    <row r="3" customFormat="false" ht="23.25" hidden="false" customHeight="true" outlineLevel="0" collapsed="false">
      <c r="A3" s="3" t="s">
        <v>14</v>
      </c>
      <c r="B3" s="3" t="s">
        <v>14</v>
      </c>
      <c r="C3" s="4" t="s">
        <v>15</v>
      </c>
      <c r="D3" s="3" t="s">
        <v>21</v>
      </c>
      <c r="E3" s="5" t="n">
        <v>1155.52</v>
      </c>
      <c r="F3" s="3" t="s">
        <v>21</v>
      </c>
      <c r="G3" s="5" t="n">
        <v>1155.52</v>
      </c>
      <c r="H3" s="5" t="n">
        <f aca="false">ROUND(ABS(G3)-ABS(E3),2)</f>
        <v>0</v>
      </c>
      <c r="I3" s="3" t="s">
        <v>17</v>
      </c>
      <c r="J3" s="3" t="s">
        <v>18</v>
      </c>
      <c r="K3" s="3"/>
      <c r="L3" s="3" t="s">
        <v>19</v>
      </c>
      <c r="M3" s="3" t="s">
        <v>20</v>
      </c>
      <c r="N3" s="3"/>
    </row>
    <row r="4" customFormat="false" ht="23.25" hidden="false" customHeight="true" outlineLevel="0" collapsed="false">
      <c r="A4" s="3" t="s">
        <v>14</v>
      </c>
      <c r="B4" s="3" t="s">
        <v>14</v>
      </c>
      <c r="C4" s="4" t="s">
        <v>15</v>
      </c>
      <c r="D4" s="3" t="s">
        <v>22</v>
      </c>
      <c r="E4" s="5" t="n">
        <v>0</v>
      </c>
      <c r="F4" s="3" t="s">
        <v>22</v>
      </c>
      <c r="G4" s="5" t="n">
        <v>0</v>
      </c>
      <c r="H4" s="5" t="n">
        <f aca="false">ROUND(ABS(G4)-ABS(E4),2)</f>
        <v>0</v>
      </c>
      <c r="I4" s="3" t="s">
        <v>17</v>
      </c>
      <c r="J4" s="3" t="s">
        <v>18</v>
      </c>
      <c r="K4" s="3"/>
      <c r="L4" s="3" t="s">
        <v>19</v>
      </c>
      <c r="M4" s="3" t="s">
        <v>20</v>
      </c>
      <c r="N4" s="3" t="s">
        <v>23</v>
      </c>
    </row>
    <row r="5" customFormat="false" ht="23.25" hidden="false" customHeight="true" outlineLevel="0" collapsed="false">
      <c r="A5" s="3" t="s">
        <v>14</v>
      </c>
      <c r="B5" s="3" t="s">
        <v>14</v>
      </c>
      <c r="C5" s="4" t="s">
        <v>15</v>
      </c>
      <c r="D5" s="3" t="s">
        <v>24</v>
      </c>
      <c r="E5" s="5" t="n">
        <v>1278.22</v>
      </c>
      <c r="F5" s="3" t="s">
        <v>24</v>
      </c>
      <c r="G5" s="5" t="n">
        <v>1278.22</v>
      </c>
      <c r="H5" s="5" t="n">
        <f aca="false">ROUND(ABS(G5)-ABS(E5),2)</f>
        <v>0</v>
      </c>
      <c r="I5" s="3" t="s">
        <v>17</v>
      </c>
      <c r="J5" s="3" t="s">
        <v>18</v>
      </c>
      <c r="K5" s="3"/>
      <c r="L5" s="3" t="s">
        <v>19</v>
      </c>
      <c r="M5" s="3" t="s">
        <v>20</v>
      </c>
      <c r="N5" s="3"/>
    </row>
    <row r="6" customFormat="false" ht="23.25" hidden="false" customHeight="true" outlineLevel="0" collapsed="false">
      <c r="A6" s="3" t="s">
        <v>14</v>
      </c>
      <c r="B6" s="3" t="s">
        <v>14</v>
      </c>
      <c r="C6" s="4" t="s">
        <v>15</v>
      </c>
      <c r="D6" s="3" t="s">
        <v>25</v>
      </c>
      <c r="E6" s="5" t="n">
        <v>67.84</v>
      </c>
      <c r="F6" s="3" t="s">
        <v>25</v>
      </c>
      <c r="G6" s="5" t="n">
        <v>67.84</v>
      </c>
      <c r="H6" s="5" t="n">
        <f aca="false">ROUND(ABS(G6)-ABS(E6),2)</f>
        <v>0</v>
      </c>
      <c r="I6" s="3" t="s">
        <v>17</v>
      </c>
      <c r="J6" s="3" t="s">
        <v>18</v>
      </c>
      <c r="K6" s="3"/>
      <c r="L6" s="3" t="s">
        <v>19</v>
      </c>
      <c r="M6" s="3" t="s">
        <v>20</v>
      </c>
      <c r="N6" s="3"/>
    </row>
    <row r="7" customFormat="false" ht="23.25" hidden="false" customHeight="true" outlineLevel="0" collapsed="false">
      <c r="A7" s="3" t="s">
        <v>14</v>
      </c>
      <c r="B7" s="3" t="s">
        <v>14</v>
      </c>
      <c r="C7" s="4" t="s">
        <v>15</v>
      </c>
      <c r="D7" s="3" t="s">
        <v>26</v>
      </c>
      <c r="E7" s="5" t="n">
        <v>0</v>
      </c>
      <c r="F7" s="3" t="s">
        <v>26</v>
      </c>
      <c r="G7" s="5" t="n">
        <v>0</v>
      </c>
      <c r="H7" s="5" t="n">
        <f aca="false">ROUND(ABS(G7)-ABS(E7),2)</f>
        <v>0</v>
      </c>
      <c r="I7" s="3" t="s">
        <v>17</v>
      </c>
      <c r="J7" s="3" t="s">
        <v>18</v>
      </c>
      <c r="K7" s="3"/>
      <c r="L7" s="3" t="s">
        <v>19</v>
      </c>
      <c r="M7" s="3" t="s">
        <v>20</v>
      </c>
      <c r="N7" s="3" t="s">
        <v>27</v>
      </c>
    </row>
    <row r="8" customFormat="false" ht="23.25" hidden="false" customHeight="true" outlineLevel="0" collapsed="false">
      <c r="A8" s="3" t="s">
        <v>14</v>
      </c>
      <c r="B8" s="3" t="s">
        <v>14</v>
      </c>
      <c r="C8" s="6" t="s">
        <v>28</v>
      </c>
      <c r="D8" s="3" t="s">
        <v>29</v>
      </c>
      <c r="E8" s="5" t="n">
        <v>3684.42</v>
      </c>
      <c r="F8" s="3" t="s">
        <v>29</v>
      </c>
      <c r="G8" s="5" t="n">
        <v>2452.36</v>
      </c>
      <c r="H8" s="5" t="n">
        <f aca="false">ROUND(ABS(G8)-ABS(E8),2)</f>
        <v>-1232.06</v>
      </c>
      <c r="I8" s="3" t="s">
        <v>17</v>
      </c>
      <c r="J8" s="3" t="s">
        <v>18</v>
      </c>
      <c r="K8" s="3"/>
      <c r="L8" s="3" t="s">
        <v>19</v>
      </c>
      <c r="M8" s="3" t="s">
        <v>20</v>
      </c>
      <c r="N8" s="3" t="s">
        <v>30</v>
      </c>
    </row>
    <row r="9" customFormat="false" ht="34.5" hidden="false" customHeight="true" outlineLevel="0" collapsed="false">
      <c r="A9" s="3" t="s">
        <v>14</v>
      </c>
      <c r="B9" s="3" t="s">
        <v>14</v>
      </c>
      <c r="C9" s="4" t="s">
        <v>15</v>
      </c>
      <c r="D9" s="3" t="s">
        <v>16</v>
      </c>
      <c r="E9" s="5" t="n">
        <v>3800</v>
      </c>
      <c r="F9" s="3" t="s">
        <v>16</v>
      </c>
      <c r="G9" s="5" t="n">
        <v>3800</v>
      </c>
      <c r="H9" s="5" t="n">
        <f aca="false">ROUND(ABS(G9)-ABS(E9),2)</f>
        <v>0</v>
      </c>
      <c r="I9" s="3" t="s">
        <v>31</v>
      </c>
      <c r="J9" s="3"/>
      <c r="K9" s="3"/>
      <c r="L9" s="3" t="s">
        <v>32</v>
      </c>
      <c r="M9" s="3" t="s">
        <v>33</v>
      </c>
      <c r="N9" s="3"/>
    </row>
    <row r="10" customFormat="false" ht="34.5" hidden="false" customHeight="true" outlineLevel="0" collapsed="false">
      <c r="A10" s="3" t="s">
        <v>14</v>
      </c>
      <c r="B10" s="3" t="s">
        <v>14</v>
      </c>
      <c r="C10" s="4" t="s">
        <v>15</v>
      </c>
      <c r="D10" s="3" t="s">
        <v>21</v>
      </c>
      <c r="E10" s="5" t="n">
        <v>568.76</v>
      </c>
      <c r="F10" s="3" t="s">
        <v>21</v>
      </c>
      <c r="G10" s="5" t="n">
        <v>568.76</v>
      </c>
      <c r="H10" s="5" t="n">
        <f aca="false">ROUND(ABS(G10)-ABS(E10),2)</f>
        <v>0</v>
      </c>
      <c r="I10" s="3" t="s">
        <v>31</v>
      </c>
      <c r="J10" s="3"/>
      <c r="K10" s="3"/>
      <c r="L10" s="3" t="s">
        <v>32</v>
      </c>
      <c r="M10" s="3" t="s">
        <v>34</v>
      </c>
      <c r="N10" s="3"/>
    </row>
    <row r="11" customFormat="false" ht="23.25" hidden="false" customHeight="true" outlineLevel="0" collapsed="false">
      <c r="A11" s="3" t="s">
        <v>14</v>
      </c>
      <c r="B11" s="3" t="s">
        <v>14</v>
      </c>
      <c r="C11" s="6" t="s">
        <v>28</v>
      </c>
      <c r="D11" s="3" t="s">
        <v>25</v>
      </c>
      <c r="E11" s="5" t="n">
        <v>0</v>
      </c>
      <c r="F11" s="3" t="s">
        <v>25</v>
      </c>
      <c r="G11" s="5" t="n">
        <v>67.84</v>
      </c>
      <c r="H11" s="5" t="n">
        <f aca="false">ROUND(ABS(G11)-ABS(E11),2)</f>
        <v>67.84</v>
      </c>
      <c r="I11" s="3" t="s">
        <v>31</v>
      </c>
      <c r="J11" s="3"/>
      <c r="K11" s="3"/>
      <c r="L11" s="3" t="s">
        <v>35</v>
      </c>
      <c r="M11" s="3" t="s">
        <v>36</v>
      </c>
      <c r="N11" s="3"/>
    </row>
    <row r="12" customFormat="false" ht="23.25" hidden="false" customHeight="true" outlineLevel="0" collapsed="false">
      <c r="A12" s="3" t="s">
        <v>14</v>
      </c>
      <c r="B12" s="3" t="s">
        <v>14</v>
      </c>
      <c r="C12" s="7" t="s">
        <v>37</v>
      </c>
      <c r="D12" s="3" t="s">
        <v>29</v>
      </c>
      <c r="E12" s="5" t="s">
        <v>37</v>
      </c>
      <c r="F12" s="3" t="s">
        <v>29</v>
      </c>
      <c r="G12" s="5" t="s">
        <v>37</v>
      </c>
      <c r="H12" s="5" t="s">
        <v>37</v>
      </c>
      <c r="I12" s="3" t="s">
        <v>31</v>
      </c>
      <c r="J12" s="3" t="s">
        <v>38</v>
      </c>
      <c r="K12" s="3"/>
      <c r="L12" s="3" t="s">
        <v>39</v>
      </c>
      <c r="M12" s="3"/>
      <c r="N12" s="3" t="s">
        <v>40</v>
      </c>
    </row>
    <row r="13" customFormat="false" ht="34.5" hidden="false" customHeight="true" outlineLevel="0" collapsed="false">
      <c r="A13" s="3" t="s">
        <v>14</v>
      </c>
      <c r="B13" s="3" t="s">
        <v>14</v>
      </c>
      <c r="C13" s="4" t="s">
        <v>15</v>
      </c>
      <c r="D13" s="3" t="s">
        <v>16</v>
      </c>
      <c r="E13" s="5" t="n">
        <v>2500</v>
      </c>
      <c r="F13" s="3" t="s">
        <v>16</v>
      </c>
      <c r="G13" s="5" t="n">
        <v>2500</v>
      </c>
      <c r="H13" s="5" t="n">
        <f aca="false">ROUND(ABS(G13)-ABS(E13),2)</f>
        <v>0</v>
      </c>
      <c r="I13" s="3" t="s">
        <v>41</v>
      </c>
      <c r="J13" s="3"/>
      <c r="K13" s="3"/>
      <c r="L13" s="3" t="s">
        <v>32</v>
      </c>
      <c r="M13" s="3" t="s">
        <v>42</v>
      </c>
      <c r="N13" s="3"/>
    </row>
    <row r="14" customFormat="false" ht="34.5" hidden="false" customHeight="true" outlineLevel="0" collapsed="false">
      <c r="A14" s="3" t="s">
        <v>14</v>
      </c>
      <c r="B14" s="3" t="s">
        <v>14</v>
      </c>
      <c r="C14" s="4" t="s">
        <v>15</v>
      </c>
      <c r="D14" s="3" t="s">
        <v>21</v>
      </c>
      <c r="E14" s="5" t="n">
        <v>586.76</v>
      </c>
      <c r="F14" s="3" t="s">
        <v>21</v>
      </c>
      <c r="G14" s="5" t="n">
        <v>586.76</v>
      </c>
      <c r="H14" s="5" t="n">
        <f aca="false">ROUND(ABS(G14)-ABS(E14),2)</f>
        <v>0</v>
      </c>
      <c r="I14" s="3" t="s">
        <v>41</v>
      </c>
      <c r="J14" s="3"/>
      <c r="K14" s="3"/>
      <c r="L14" s="3" t="s">
        <v>32</v>
      </c>
      <c r="M14" s="3" t="s">
        <v>43</v>
      </c>
      <c r="N14" s="3"/>
    </row>
    <row r="15" customFormat="false" ht="34.5" hidden="false" customHeight="true" outlineLevel="0" collapsed="false">
      <c r="A15" s="3" t="s">
        <v>14</v>
      </c>
      <c r="B15" s="3" t="s">
        <v>14</v>
      </c>
      <c r="C15" s="4" t="s">
        <v>15</v>
      </c>
      <c r="D15" s="3" t="s">
        <v>24</v>
      </c>
      <c r="E15" s="5" t="n">
        <v>1278.22</v>
      </c>
      <c r="F15" s="3" t="s">
        <v>24</v>
      </c>
      <c r="G15" s="5" t="n">
        <v>1278.22</v>
      </c>
      <c r="H15" s="5" t="n">
        <f aca="false">ROUND(ABS(G15)-ABS(E15),2)</f>
        <v>0</v>
      </c>
      <c r="I15" s="3" t="s">
        <v>41</v>
      </c>
      <c r="J15" s="3"/>
      <c r="K15" s="3"/>
      <c r="L15" s="3" t="s">
        <v>32</v>
      </c>
      <c r="M15" s="3" t="s">
        <v>44</v>
      </c>
      <c r="N15" s="3"/>
    </row>
    <row r="16" customFormat="false" ht="34.5" hidden="false" customHeight="true" outlineLevel="0" collapsed="false">
      <c r="A16" s="3" t="s">
        <v>14</v>
      </c>
      <c r="B16" s="3" t="s">
        <v>14</v>
      </c>
      <c r="C16" s="6" t="s">
        <v>28</v>
      </c>
      <c r="D16" s="3" t="s">
        <v>25</v>
      </c>
      <c r="E16" s="5" t="n">
        <v>67.84</v>
      </c>
      <c r="F16" s="3" t="s">
        <v>25</v>
      </c>
      <c r="G16" s="5" t="n">
        <v>0</v>
      </c>
      <c r="H16" s="5" t="n">
        <f aca="false">ROUND(ABS(G16)-ABS(E16),2)</f>
        <v>-67.84</v>
      </c>
      <c r="I16" s="3" t="s">
        <v>41</v>
      </c>
      <c r="J16" s="3" t="s">
        <v>45</v>
      </c>
      <c r="K16" s="3"/>
      <c r="L16" s="3" t="s">
        <v>46</v>
      </c>
      <c r="M16" s="3"/>
      <c r="N16" s="3"/>
    </row>
    <row r="17" customFormat="false" ht="23.25" hidden="false" customHeight="true" outlineLevel="0" collapsed="false">
      <c r="A17" s="3" t="s">
        <v>14</v>
      </c>
      <c r="B17" s="3" t="s">
        <v>14</v>
      </c>
      <c r="C17" s="7" t="s">
        <v>37</v>
      </c>
      <c r="D17" s="3" t="s">
        <v>29</v>
      </c>
      <c r="E17" s="5" t="s">
        <v>37</v>
      </c>
      <c r="F17" s="3" t="s">
        <v>29</v>
      </c>
      <c r="G17" s="5" t="s">
        <v>37</v>
      </c>
      <c r="H17" s="5" t="s">
        <v>37</v>
      </c>
      <c r="I17" s="3" t="s">
        <v>41</v>
      </c>
      <c r="J17" s="3" t="s">
        <v>38</v>
      </c>
      <c r="K17" s="3"/>
      <c r="L17" s="3" t="s">
        <v>39</v>
      </c>
      <c r="M17" s="3"/>
      <c r="N17" s="3" t="s">
        <v>40</v>
      </c>
    </row>
    <row r="18" customFormat="false" ht="75.75" hidden="false" customHeight="true" outlineLevel="0" collapsed="false">
      <c r="A18" s="8" t="s">
        <v>14</v>
      </c>
      <c r="B18" s="8" t="s">
        <v>14</v>
      </c>
      <c r="C18" s="8" t="s">
        <v>28</v>
      </c>
      <c r="D18" s="8" t="s">
        <v>47</v>
      </c>
      <c r="E18" s="8" t="s">
        <v>48</v>
      </c>
      <c r="F18" s="8" t="s">
        <v>47</v>
      </c>
      <c r="G18" s="8" t="s">
        <v>18</v>
      </c>
      <c r="H18" s="8"/>
      <c r="I18" s="8" t="s">
        <v>49</v>
      </c>
      <c r="J18" s="8" t="s">
        <v>18</v>
      </c>
      <c r="K18" s="8"/>
      <c r="L18" s="8" t="s">
        <v>19</v>
      </c>
      <c r="M18" s="8" t="s">
        <v>20</v>
      </c>
      <c r="N18" s="8" t="s">
        <v>50</v>
      </c>
    </row>
    <row r="19" customFormat="false" ht="23.25" hidden="false" customHeight="true" outlineLevel="0" collapsed="false">
      <c r="A19" s="3" t="s">
        <v>51</v>
      </c>
      <c r="B19" s="3" t="s">
        <v>51</v>
      </c>
      <c r="C19" s="4" t="s">
        <v>15</v>
      </c>
      <c r="D19" s="3" t="s">
        <v>16</v>
      </c>
      <c r="E19" s="5" t="n">
        <v>9300</v>
      </c>
      <c r="F19" s="3" t="s">
        <v>16</v>
      </c>
      <c r="G19" s="5" t="n">
        <v>9300</v>
      </c>
      <c r="H19" s="5" t="n">
        <f aca="false">ROUND(ABS(G19)-ABS(E19),2)</f>
        <v>0</v>
      </c>
      <c r="I19" s="3" t="s">
        <v>17</v>
      </c>
      <c r="J19" s="3" t="s">
        <v>18</v>
      </c>
      <c r="K19" s="3"/>
      <c r="L19" s="3" t="s">
        <v>52</v>
      </c>
      <c r="M19" s="3" t="s">
        <v>53</v>
      </c>
      <c r="N19" s="3"/>
    </row>
    <row r="20" customFormat="false" ht="23.25" hidden="false" customHeight="true" outlineLevel="0" collapsed="false">
      <c r="A20" s="3" t="s">
        <v>51</v>
      </c>
      <c r="B20" s="3" t="s">
        <v>51</v>
      </c>
      <c r="C20" s="4" t="s">
        <v>15</v>
      </c>
      <c r="D20" s="3" t="s">
        <v>21</v>
      </c>
      <c r="E20" s="5" t="n">
        <v>1907.5</v>
      </c>
      <c r="F20" s="3" t="s">
        <v>21</v>
      </c>
      <c r="G20" s="5" t="n">
        <v>1907.5</v>
      </c>
      <c r="H20" s="5" t="n">
        <f aca="false">ROUND(ABS(G20)-ABS(E20),2)</f>
        <v>0</v>
      </c>
      <c r="I20" s="3" t="s">
        <v>17</v>
      </c>
      <c r="J20" s="3" t="s">
        <v>18</v>
      </c>
      <c r="K20" s="3"/>
      <c r="L20" s="3" t="s">
        <v>52</v>
      </c>
      <c r="M20" s="3" t="s">
        <v>53</v>
      </c>
      <c r="N20" s="3"/>
    </row>
    <row r="21" customFormat="false" ht="23.25" hidden="false" customHeight="true" outlineLevel="0" collapsed="false">
      <c r="A21" s="3" t="s">
        <v>51</v>
      </c>
      <c r="B21" s="3" t="s">
        <v>51</v>
      </c>
      <c r="C21" s="4" t="s">
        <v>15</v>
      </c>
      <c r="D21" s="3" t="s">
        <v>22</v>
      </c>
      <c r="E21" s="5" t="n">
        <v>100</v>
      </c>
      <c r="F21" s="3" t="s">
        <v>22</v>
      </c>
      <c r="G21" s="5" t="n">
        <v>100</v>
      </c>
      <c r="H21" s="5" t="n">
        <f aca="false">ROUND(ABS(G21)-ABS(E21),2)</f>
        <v>0</v>
      </c>
      <c r="I21" s="3" t="s">
        <v>17</v>
      </c>
      <c r="J21" s="3" t="s">
        <v>18</v>
      </c>
      <c r="K21" s="3"/>
      <c r="L21" s="3" t="s">
        <v>52</v>
      </c>
      <c r="M21" s="3" t="s">
        <v>53</v>
      </c>
      <c r="N21" s="3" t="s">
        <v>23</v>
      </c>
    </row>
    <row r="22" customFormat="false" ht="23.25" hidden="false" customHeight="true" outlineLevel="0" collapsed="false">
      <c r="A22" s="3" t="s">
        <v>51</v>
      </c>
      <c r="B22" s="3" t="s">
        <v>51</v>
      </c>
      <c r="C22" s="4" t="s">
        <v>15</v>
      </c>
      <c r="D22" s="3" t="s">
        <v>24</v>
      </c>
      <c r="E22" s="5" t="n">
        <v>3221.7</v>
      </c>
      <c r="F22" s="3" t="s">
        <v>24</v>
      </c>
      <c r="G22" s="5" t="n">
        <v>3221.7</v>
      </c>
      <c r="H22" s="5" t="n">
        <f aca="false">ROUND(ABS(G22)-ABS(E22),2)</f>
        <v>0</v>
      </c>
      <c r="I22" s="3" t="s">
        <v>17</v>
      </c>
      <c r="J22" s="3" t="s">
        <v>18</v>
      </c>
      <c r="K22" s="3"/>
      <c r="L22" s="3" t="s">
        <v>52</v>
      </c>
      <c r="M22" s="3" t="s">
        <v>53</v>
      </c>
      <c r="N22" s="3"/>
    </row>
    <row r="23" customFormat="false" ht="23.25" hidden="false" customHeight="true" outlineLevel="0" collapsed="false">
      <c r="A23" s="3" t="s">
        <v>51</v>
      </c>
      <c r="B23" s="3" t="s">
        <v>51</v>
      </c>
      <c r="C23" s="4" t="s">
        <v>15</v>
      </c>
      <c r="D23" s="3" t="s">
        <v>25</v>
      </c>
      <c r="E23" s="5" t="n">
        <v>105.05</v>
      </c>
      <c r="F23" s="3" t="s">
        <v>25</v>
      </c>
      <c r="G23" s="5" t="n">
        <v>105.05</v>
      </c>
      <c r="H23" s="5" t="n">
        <f aca="false">ROUND(ABS(G23)-ABS(E23),2)</f>
        <v>0</v>
      </c>
      <c r="I23" s="3" t="s">
        <v>17</v>
      </c>
      <c r="J23" s="3" t="s">
        <v>18</v>
      </c>
      <c r="K23" s="3"/>
      <c r="L23" s="3" t="s">
        <v>52</v>
      </c>
      <c r="M23" s="3" t="s">
        <v>53</v>
      </c>
      <c r="N23" s="3"/>
    </row>
    <row r="24" customFormat="false" ht="23.25" hidden="false" customHeight="true" outlineLevel="0" collapsed="false">
      <c r="A24" s="3" t="s">
        <v>51</v>
      </c>
      <c r="B24" s="3" t="s">
        <v>51</v>
      </c>
      <c r="C24" s="4" t="s">
        <v>15</v>
      </c>
      <c r="D24" s="3" t="s">
        <v>26</v>
      </c>
      <c r="E24" s="5" t="n">
        <v>0</v>
      </c>
      <c r="F24" s="3" t="s">
        <v>26</v>
      </c>
      <c r="G24" s="5" t="n">
        <v>0</v>
      </c>
      <c r="H24" s="5" t="n">
        <f aca="false">ROUND(ABS(G24)-ABS(E24),2)</f>
        <v>0</v>
      </c>
      <c r="I24" s="3" t="s">
        <v>17</v>
      </c>
      <c r="J24" s="3" t="s">
        <v>18</v>
      </c>
      <c r="K24" s="3"/>
      <c r="L24" s="3" t="s">
        <v>52</v>
      </c>
      <c r="M24" s="3" t="s">
        <v>53</v>
      </c>
      <c r="N24" s="3" t="s">
        <v>27</v>
      </c>
    </row>
    <row r="25" customFormat="false" ht="23.25" hidden="false" customHeight="true" outlineLevel="0" collapsed="false">
      <c r="A25" s="3" t="s">
        <v>51</v>
      </c>
      <c r="B25" s="3" t="s">
        <v>51</v>
      </c>
      <c r="C25" s="6" t="s">
        <v>28</v>
      </c>
      <c r="D25" s="3" t="s">
        <v>29</v>
      </c>
      <c r="E25" s="5" t="n">
        <v>3826.25</v>
      </c>
      <c r="F25" s="3" t="s">
        <v>29</v>
      </c>
      <c r="G25" s="5" t="n">
        <v>-2181.99</v>
      </c>
      <c r="H25" s="5" t="n">
        <f aca="false">ROUND(ABS(G25)-ABS(E25),2)</f>
        <v>-1644.26</v>
      </c>
      <c r="I25" s="3" t="s">
        <v>17</v>
      </c>
      <c r="J25" s="3" t="s">
        <v>18</v>
      </c>
      <c r="K25" s="3"/>
      <c r="L25" s="3" t="s">
        <v>52</v>
      </c>
      <c r="M25" s="3" t="s">
        <v>53</v>
      </c>
      <c r="N25" s="3" t="s">
        <v>30</v>
      </c>
    </row>
    <row r="26" customFormat="false" ht="34.5" hidden="false" customHeight="true" outlineLevel="0" collapsed="false">
      <c r="A26" s="3" t="s">
        <v>51</v>
      </c>
      <c r="B26" s="3" t="s">
        <v>51</v>
      </c>
      <c r="C26" s="4" t="s">
        <v>15</v>
      </c>
      <c r="D26" s="3" t="s">
        <v>16</v>
      </c>
      <c r="E26" s="5" t="n">
        <v>4900</v>
      </c>
      <c r="F26" s="3" t="s">
        <v>16</v>
      </c>
      <c r="G26" s="5" t="n">
        <v>4900</v>
      </c>
      <c r="H26" s="5" t="n">
        <f aca="false">ROUND(ABS(G26)-ABS(E26),2)</f>
        <v>0</v>
      </c>
      <c r="I26" s="3" t="s">
        <v>54</v>
      </c>
      <c r="J26" s="3"/>
      <c r="K26" s="3"/>
      <c r="L26" s="3" t="s">
        <v>55</v>
      </c>
      <c r="M26" s="3" t="s">
        <v>56</v>
      </c>
      <c r="N26" s="3"/>
    </row>
    <row r="27" customFormat="false" ht="34.5" hidden="false" customHeight="true" outlineLevel="0" collapsed="false">
      <c r="A27" s="3" t="s">
        <v>51</v>
      </c>
      <c r="B27" s="3" t="s">
        <v>51</v>
      </c>
      <c r="C27" s="4" t="s">
        <v>15</v>
      </c>
      <c r="D27" s="3" t="s">
        <v>21</v>
      </c>
      <c r="E27" s="5" t="n">
        <v>947.15</v>
      </c>
      <c r="F27" s="3" t="s">
        <v>21</v>
      </c>
      <c r="G27" s="5" t="n">
        <v>947.15</v>
      </c>
      <c r="H27" s="5" t="n">
        <f aca="false">ROUND(ABS(G27)-ABS(E27),2)</f>
        <v>0</v>
      </c>
      <c r="I27" s="3" t="s">
        <v>54</v>
      </c>
      <c r="J27" s="3"/>
      <c r="K27" s="3"/>
      <c r="L27" s="3" t="s">
        <v>55</v>
      </c>
      <c r="M27" s="3" t="s">
        <v>57</v>
      </c>
      <c r="N27" s="3"/>
    </row>
    <row r="28" customFormat="false" ht="34.5" hidden="false" customHeight="true" outlineLevel="0" collapsed="false">
      <c r="A28" s="3" t="s">
        <v>51</v>
      </c>
      <c r="B28" s="3" t="s">
        <v>51</v>
      </c>
      <c r="C28" s="4" t="s">
        <v>15</v>
      </c>
      <c r="D28" s="3" t="s">
        <v>22</v>
      </c>
      <c r="E28" s="5" t="n">
        <v>50</v>
      </c>
      <c r="F28" s="3" t="s">
        <v>22</v>
      </c>
      <c r="G28" s="5" t="n">
        <v>50</v>
      </c>
      <c r="H28" s="5" t="n">
        <f aca="false">ROUND(ABS(G28)-ABS(E28),2)</f>
        <v>0</v>
      </c>
      <c r="I28" s="3" t="s">
        <v>54</v>
      </c>
      <c r="J28" s="3"/>
      <c r="K28" s="3"/>
      <c r="L28" s="3" t="s">
        <v>58</v>
      </c>
      <c r="M28" s="3" t="s">
        <v>59</v>
      </c>
      <c r="N28" s="3"/>
    </row>
    <row r="29" customFormat="false" ht="34.5" hidden="false" customHeight="true" outlineLevel="0" collapsed="false">
      <c r="A29" s="3" t="s">
        <v>51</v>
      </c>
      <c r="B29" s="3" t="s">
        <v>51</v>
      </c>
      <c r="C29" s="4" t="s">
        <v>15</v>
      </c>
      <c r="D29" s="3" t="s">
        <v>24</v>
      </c>
      <c r="E29" s="5" t="n">
        <v>1770.91</v>
      </c>
      <c r="F29" s="3" t="s">
        <v>24</v>
      </c>
      <c r="G29" s="5" t="n">
        <v>1770.91</v>
      </c>
      <c r="H29" s="5" t="n">
        <f aca="false">ROUND(ABS(G29)-ABS(E29),2)</f>
        <v>0</v>
      </c>
      <c r="I29" s="3" t="s">
        <v>54</v>
      </c>
      <c r="J29" s="3"/>
      <c r="K29" s="3"/>
      <c r="L29" s="3" t="s">
        <v>55</v>
      </c>
      <c r="M29" s="3" t="s">
        <v>60</v>
      </c>
      <c r="N29" s="3"/>
    </row>
    <row r="30" customFormat="false" ht="34.5" hidden="false" customHeight="true" outlineLevel="0" collapsed="false">
      <c r="A30" s="3" t="s">
        <v>51</v>
      </c>
      <c r="B30" s="3" t="s">
        <v>51</v>
      </c>
      <c r="C30" s="6" t="s">
        <v>28</v>
      </c>
      <c r="D30" s="3" t="s">
        <v>25</v>
      </c>
      <c r="E30" s="5" t="n">
        <v>67.81</v>
      </c>
      <c r="F30" s="3" t="s">
        <v>25</v>
      </c>
      <c r="G30" s="5" t="n">
        <v>0</v>
      </c>
      <c r="H30" s="5" t="n">
        <f aca="false">ROUND(ABS(G30)-ABS(E30),2)</f>
        <v>-67.81</v>
      </c>
      <c r="I30" s="3" t="s">
        <v>54</v>
      </c>
      <c r="J30" s="3" t="s">
        <v>45</v>
      </c>
      <c r="K30" s="3"/>
      <c r="L30" s="3" t="s">
        <v>61</v>
      </c>
      <c r="M30" s="3"/>
      <c r="N30" s="3" t="s">
        <v>62</v>
      </c>
    </row>
    <row r="31" customFormat="false" ht="23.25" hidden="false" customHeight="true" outlineLevel="0" collapsed="false">
      <c r="A31" s="3" t="s">
        <v>51</v>
      </c>
      <c r="B31" s="3" t="s">
        <v>51</v>
      </c>
      <c r="C31" s="7" t="s">
        <v>37</v>
      </c>
      <c r="D31" s="3" t="s">
        <v>29</v>
      </c>
      <c r="E31" s="5" t="s">
        <v>37</v>
      </c>
      <c r="F31" s="3" t="s">
        <v>29</v>
      </c>
      <c r="G31" s="5" t="s">
        <v>37</v>
      </c>
      <c r="H31" s="5" t="s">
        <v>37</v>
      </c>
      <c r="I31" s="3" t="s">
        <v>54</v>
      </c>
      <c r="J31" s="3" t="s">
        <v>38</v>
      </c>
      <c r="K31" s="3"/>
      <c r="L31" s="3" t="s">
        <v>39</v>
      </c>
      <c r="M31" s="3"/>
      <c r="N31" s="3" t="s">
        <v>40</v>
      </c>
    </row>
    <row r="32" customFormat="false" ht="34.5" hidden="false" customHeight="true" outlineLevel="0" collapsed="false">
      <c r="A32" s="3" t="s">
        <v>51</v>
      </c>
      <c r="B32" s="3" t="s">
        <v>51</v>
      </c>
      <c r="C32" s="4" t="s">
        <v>15</v>
      </c>
      <c r="D32" s="3" t="s">
        <v>16</v>
      </c>
      <c r="E32" s="5" t="n">
        <v>4400</v>
      </c>
      <c r="F32" s="3" t="s">
        <v>16</v>
      </c>
      <c r="G32" s="5" t="n">
        <v>4400</v>
      </c>
      <c r="H32" s="5" t="n">
        <f aca="false">ROUND(ABS(G32)-ABS(E32),2)</f>
        <v>0</v>
      </c>
      <c r="I32" s="3" t="s">
        <v>63</v>
      </c>
      <c r="J32" s="3"/>
      <c r="K32" s="3"/>
      <c r="L32" s="3" t="s">
        <v>55</v>
      </c>
      <c r="M32" s="3" t="s">
        <v>64</v>
      </c>
      <c r="N32" s="3"/>
    </row>
    <row r="33" customFormat="false" ht="34.5" hidden="false" customHeight="true" outlineLevel="0" collapsed="false">
      <c r="A33" s="3" t="s">
        <v>51</v>
      </c>
      <c r="B33" s="3" t="s">
        <v>51</v>
      </c>
      <c r="C33" s="4" t="s">
        <v>15</v>
      </c>
      <c r="D33" s="3" t="s">
        <v>21</v>
      </c>
      <c r="E33" s="5" t="n">
        <v>960.35</v>
      </c>
      <c r="F33" s="3" t="s">
        <v>21</v>
      </c>
      <c r="G33" s="5" t="n">
        <v>960.35</v>
      </c>
      <c r="H33" s="5" t="n">
        <f aca="false">ROUND(ABS(G33)-ABS(E33),2)</f>
        <v>0</v>
      </c>
      <c r="I33" s="3" t="s">
        <v>63</v>
      </c>
      <c r="J33" s="3"/>
      <c r="K33" s="3"/>
      <c r="L33" s="3" t="s">
        <v>55</v>
      </c>
      <c r="M33" s="3" t="s">
        <v>65</v>
      </c>
      <c r="N33" s="3"/>
    </row>
    <row r="34" customFormat="false" ht="34.5" hidden="false" customHeight="true" outlineLevel="0" collapsed="false">
      <c r="A34" s="3" t="s">
        <v>51</v>
      </c>
      <c r="B34" s="3" t="s">
        <v>51</v>
      </c>
      <c r="C34" s="4" t="s">
        <v>15</v>
      </c>
      <c r="D34" s="3" t="s">
        <v>22</v>
      </c>
      <c r="E34" s="5" t="n">
        <v>50</v>
      </c>
      <c r="F34" s="3" t="s">
        <v>22</v>
      </c>
      <c r="G34" s="5" t="n">
        <v>50</v>
      </c>
      <c r="H34" s="5" t="n">
        <f aca="false">ROUND(ABS(G34)-ABS(E34),2)</f>
        <v>0</v>
      </c>
      <c r="I34" s="3" t="s">
        <v>63</v>
      </c>
      <c r="J34" s="3"/>
      <c r="K34" s="3"/>
      <c r="L34" s="3" t="s">
        <v>58</v>
      </c>
      <c r="M34" s="3" t="s">
        <v>66</v>
      </c>
      <c r="N34" s="3"/>
    </row>
    <row r="35" customFormat="false" ht="34.5" hidden="false" customHeight="true" outlineLevel="0" collapsed="false">
      <c r="A35" s="3" t="s">
        <v>51</v>
      </c>
      <c r="B35" s="3" t="s">
        <v>51</v>
      </c>
      <c r="C35" s="4" t="s">
        <v>15</v>
      </c>
      <c r="D35" s="3" t="s">
        <v>24</v>
      </c>
      <c r="E35" s="5" t="n">
        <v>1450.79</v>
      </c>
      <c r="F35" s="3" t="s">
        <v>24</v>
      </c>
      <c r="G35" s="5" t="n">
        <v>1450.79</v>
      </c>
      <c r="H35" s="5" t="n">
        <f aca="false">ROUND(ABS(G35)-ABS(E35),2)</f>
        <v>0</v>
      </c>
      <c r="I35" s="3" t="s">
        <v>63</v>
      </c>
      <c r="J35" s="3"/>
      <c r="K35" s="3"/>
      <c r="L35" s="3" t="s">
        <v>55</v>
      </c>
      <c r="M35" s="3" t="s">
        <v>67</v>
      </c>
      <c r="N35" s="3"/>
    </row>
    <row r="36" customFormat="false" ht="23.25" hidden="false" customHeight="true" outlineLevel="0" collapsed="false">
      <c r="A36" s="3" t="s">
        <v>51</v>
      </c>
      <c r="B36" s="3" t="s">
        <v>51</v>
      </c>
      <c r="C36" s="7" t="s">
        <v>37</v>
      </c>
      <c r="D36" s="3" t="s">
        <v>25</v>
      </c>
      <c r="E36" s="5" t="n">
        <v>0</v>
      </c>
      <c r="F36" s="3" t="s">
        <v>25</v>
      </c>
      <c r="G36" s="5" t="n">
        <v>105.05</v>
      </c>
      <c r="H36" s="5" t="n">
        <f aca="false">ROUND(ABS(G36)-ABS(E36),2)</f>
        <v>105.05</v>
      </c>
      <c r="I36" s="3" t="s">
        <v>63</v>
      </c>
      <c r="J36" s="3"/>
      <c r="K36" s="3"/>
      <c r="L36" s="3" t="s">
        <v>68</v>
      </c>
      <c r="M36" s="3" t="s">
        <v>69</v>
      </c>
      <c r="N36" s="3" t="s">
        <v>62</v>
      </c>
    </row>
    <row r="37" customFormat="false" ht="23.25" hidden="false" customHeight="true" outlineLevel="0" collapsed="false">
      <c r="A37" s="3" t="s">
        <v>51</v>
      </c>
      <c r="B37" s="3" t="s">
        <v>51</v>
      </c>
      <c r="C37" s="7" t="s">
        <v>37</v>
      </c>
      <c r="D37" s="3" t="s">
        <v>29</v>
      </c>
      <c r="E37" s="5" t="s">
        <v>37</v>
      </c>
      <c r="F37" s="3" t="s">
        <v>29</v>
      </c>
      <c r="G37" s="5" t="s">
        <v>37</v>
      </c>
      <c r="H37" s="5" t="s">
        <v>37</v>
      </c>
      <c r="I37" s="3" t="s">
        <v>63</v>
      </c>
      <c r="J37" s="3" t="s">
        <v>38</v>
      </c>
      <c r="K37" s="3"/>
      <c r="L37" s="3" t="s">
        <v>39</v>
      </c>
      <c r="M37" s="3"/>
      <c r="N37" s="3" t="s">
        <v>40</v>
      </c>
    </row>
    <row r="38" customFormat="false" ht="15" hidden="false" customHeight="true" outlineLevel="0" collapsed="false">
      <c r="A38" s="3" t="s">
        <v>51</v>
      </c>
      <c r="B38" s="3" t="s">
        <v>51</v>
      </c>
      <c r="C38" s="7" t="s">
        <v>37</v>
      </c>
      <c r="D38" s="3" t="s">
        <v>25</v>
      </c>
      <c r="E38" s="5" t="n">
        <v>37.24</v>
      </c>
      <c r="F38" s="3" t="s">
        <v>25</v>
      </c>
      <c r="G38" s="5" t="s">
        <v>37</v>
      </c>
      <c r="H38" s="5" t="s">
        <v>37</v>
      </c>
      <c r="I38" s="3" t="s">
        <v>70</v>
      </c>
      <c r="J38" s="3" t="s">
        <v>71</v>
      </c>
      <c r="K38" s="3"/>
      <c r="L38" s="3" t="s">
        <v>72</v>
      </c>
      <c r="M38" s="3"/>
      <c r="N38" s="3" t="s">
        <v>73</v>
      </c>
    </row>
    <row r="39" customFormat="false" ht="75.75" hidden="false" customHeight="true" outlineLevel="0" collapsed="false">
      <c r="A39" s="8" t="s">
        <v>51</v>
      </c>
      <c r="B39" s="8" t="s">
        <v>51</v>
      </c>
      <c r="C39" s="8" t="s">
        <v>28</v>
      </c>
      <c r="D39" s="8" t="s">
        <v>47</v>
      </c>
      <c r="E39" s="8" t="s">
        <v>74</v>
      </c>
      <c r="F39" s="8" t="s">
        <v>47</v>
      </c>
      <c r="G39" s="8" t="s">
        <v>18</v>
      </c>
      <c r="H39" s="8"/>
      <c r="I39" s="8" t="s">
        <v>49</v>
      </c>
      <c r="J39" s="8" t="s">
        <v>18</v>
      </c>
      <c r="K39" s="8"/>
      <c r="L39" s="8" t="s">
        <v>52</v>
      </c>
      <c r="M39" s="8" t="s">
        <v>53</v>
      </c>
      <c r="N39" s="8" t="s">
        <v>50</v>
      </c>
    </row>
    <row r="40" customFormat="false" ht="23.25" hidden="false" customHeight="true" outlineLevel="0" collapsed="false">
      <c r="A40" s="3" t="s">
        <v>75</v>
      </c>
      <c r="B40" s="3" t="s">
        <v>75</v>
      </c>
      <c r="C40" s="4" t="s">
        <v>15</v>
      </c>
      <c r="D40" s="3" t="s">
        <v>16</v>
      </c>
      <c r="E40" s="5" t="n">
        <v>7900</v>
      </c>
      <c r="F40" s="3" t="s">
        <v>16</v>
      </c>
      <c r="G40" s="5" t="n">
        <v>7900</v>
      </c>
      <c r="H40" s="5" t="n">
        <f aca="false">ROUND(ABS(G40)-ABS(E40),2)</f>
        <v>0</v>
      </c>
      <c r="I40" s="3" t="s">
        <v>17</v>
      </c>
      <c r="J40" s="3" t="s">
        <v>18</v>
      </c>
      <c r="K40" s="3"/>
      <c r="L40" s="3" t="s">
        <v>76</v>
      </c>
      <c r="M40" s="3" t="s">
        <v>77</v>
      </c>
      <c r="N40" s="3"/>
    </row>
    <row r="41" customFormat="false" ht="23.25" hidden="false" customHeight="true" outlineLevel="0" collapsed="false">
      <c r="A41" s="3" t="s">
        <v>75</v>
      </c>
      <c r="B41" s="3" t="s">
        <v>75</v>
      </c>
      <c r="C41" s="4" t="s">
        <v>15</v>
      </c>
      <c r="D41" s="3" t="s">
        <v>21</v>
      </c>
      <c r="E41" s="5" t="n">
        <v>1909.1</v>
      </c>
      <c r="F41" s="3" t="s">
        <v>21</v>
      </c>
      <c r="G41" s="5" t="n">
        <v>1909.1</v>
      </c>
      <c r="H41" s="5" t="n">
        <f aca="false">ROUND(ABS(G41)-ABS(E41),2)</f>
        <v>0</v>
      </c>
      <c r="I41" s="3" t="s">
        <v>17</v>
      </c>
      <c r="J41" s="3" t="s">
        <v>18</v>
      </c>
      <c r="K41" s="3"/>
      <c r="L41" s="3" t="s">
        <v>76</v>
      </c>
      <c r="M41" s="3" t="s">
        <v>77</v>
      </c>
      <c r="N41" s="3"/>
    </row>
    <row r="42" customFormat="false" ht="23.25" hidden="false" customHeight="true" outlineLevel="0" collapsed="false">
      <c r="A42" s="3" t="s">
        <v>75</v>
      </c>
      <c r="B42" s="3" t="s">
        <v>75</v>
      </c>
      <c r="C42" s="4" t="s">
        <v>15</v>
      </c>
      <c r="D42" s="3" t="s">
        <v>22</v>
      </c>
      <c r="E42" s="5" t="n">
        <v>50</v>
      </c>
      <c r="F42" s="3" t="s">
        <v>22</v>
      </c>
      <c r="G42" s="5" t="n">
        <v>50</v>
      </c>
      <c r="H42" s="5" t="n">
        <f aca="false">ROUND(ABS(G42)-ABS(E42),2)</f>
        <v>0</v>
      </c>
      <c r="I42" s="3" t="s">
        <v>17</v>
      </c>
      <c r="J42" s="3" t="s">
        <v>18</v>
      </c>
      <c r="K42" s="3"/>
      <c r="L42" s="3" t="s">
        <v>76</v>
      </c>
      <c r="M42" s="3" t="s">
        <v>77</v>
      </c>
      <c r="N42" s="3" t="s">
        <v>23</v>
      </c>
    </row>
    <row r="43" customFormat="false" ht="23.25" hidden="false" customHeight="true" outlineLevel="0" collapsed="false">
      <c r="A43" s="3" t="s">
        <v>75</v>
      </c>
      <c r="B43" s="3" t="s">
        <v>75</v>
      </c>
      <c r="C43" s="4" t="s">
        <v>15</v>
      </c>
      <c r="D43" s="3" t="s">
        <v>24</v>
      </c>
      <c r="E43" s="5" t="n">
        <v>3171.66</v>
      </c>
      <c r="F43" s="3" t="s">
        <v>24</v>
      </c>
      <c r="G43" s="5" t="n">
        <v>3171.66</v>
      </c>
      <c r="H43" s="5" t="n">
        <f aca="false">ROUND(ABS(G43)-ABS(E43),2)</f>
        <v>0</v>
      </c>
      <c r="I43" s="3" t="s">
        <v>17</v>
      </c>
      <c r="J43" s="3" t="s">
        <v>18</v>
      </c>
      <c r="K43" s="3"/>
      <c r="L43" s="3" t="s">
        <v>76</v>
      </c>
      <c r="M43" s="3" t="s">
        <v>77</v>
      </c>
      <c r="N43" s="3"/>
    </row>
    <row r="44" customFormat="false" ht="23.25" hidden="false" customHeight="true" outlineLevel="0" collapsed="false">
      <c r="A44" s="3" t="s">
        <v>75</v>
      </c>
      <c r="B44" s="3" t="s">
        <v>75</v>
      </c>
      <c r="C44" s="4" t="s">
        <v>15</v>
      </c>
      <c r="D44" s="3" t="s">
        <v>25</v>
      </c>
      <c r="E44" s="5" t="n">
        <v>152.34</v>
      </c>
      <c r="F44" s="3" t="s">
        <v>25</v>
      </c>
      <c r="G44" s="5" t="n">
        <v>152.34</v>
      </c>
      <c r="H44" s="5" t="n">
        <f aca="false">ROUND(ABS(G44)-ABS(E44),2)</f>
        <v>0</v>
      </c>
      <c r="I44" s="3" t="s">
        <v>17</v>
      </c>
      <c r="J44" s="3" t="s">
        <v>18</v>
      </c>
      <c r="K44" s="3"/>
      <c r="L44" s="3" t="s">
        <v>76</v>
      </c>
      <c r="M44" s="3" t="s">
        <v>77</v>
      </c>
      <c r="N44" s="3"/>
    </row>
    <row r="45" customFormat="false" ht="23.25" hidden="false" customHeight="true" outlineLevel="0" collapsed="false">
      <c r="A45" s="3" t="s">
        <v>75</v>
      </c>
      <c r="B45" s="3" t="s">
        <v>75</v>
      </c>
      <c r="C45" s="4" t="s">
        <v>15</v>
      </c>
      <c r="D45" s="3" t="s">
        <v>26</v>
      </c>
      <c r="E45" s="5" t="n">
        <v>0</v>
      </c>
      <c r="F45" s="3" t="s">
        <v>26</v>
      </c>
      <c r="G45" s="5" t="n">
        <v>0</v>
      </c>
      <c r="H45" s="5" t="n">
        <f aca="false">ROUND(ABS(G45)-ABS(E45),2)</f>
        <v>0</v>
      </c>
      <c r="I45" s="3" t="s">
        <v>17</v>
      </c>
      <c r="J45" s="3" t="s">
        <v>18</v>
      </c>
      <c r="K45" s="3"/>
      <c r="L45" s="3" t="s">
        <v>76</v>
      </c>
      <c r="M45" s="3" t="s">
        <v>77</v>
      </c>
      <c r="N45" s="3" t="s">
        <v>27</v>
      </c>
    </row>
    <row r="46" customFormat="false" ht="23.25" hidden="false" customHeight="true" outlineLevel="0" collapsed="false">
      <c r="A46" s="3" t="s">
        <v>75</v>
      </c>
      <c r="B46" s="3" t="s">
        <v>75</v>
      </c>
      <c r="C46" s="6" t="s">
        <v>28</v>
      </c>
      <c r="D46" s="3" t="s">
        <v>29</v>
      </c>
      <c r="E46" s="5" t="n">
        <v>2543.4</v>
      </c>
      <c r="F46" s="3" t="s">
        <v>29</v>
      </c>
      <c r="G46" s="5" t="n">
        <v>-2420.6</v>
      </c>
      <c r="H46" s="5" t="n">
        <f aca="false">ROUND(ABS(G46)-ABS(E46),2)</f>
        <v>-122.8</v>
      </c>
      <c r="I46" s="3" t="s">
        <v>17</v>
      </c>
      <c r="J46" s="3" t="s">
        <v>18</v>
      </c>
      <c r="K46" s="3"/>
      <c r="L46" s="3" t="s">
        <v>76</v>
      </c>
      <c r="M46" s="3" t="s">
        <v>77</v>
      </c>
      <c r="N46" s="3" t="s">
        <v>30</v>
      </c>
    </row>
    <row r="47" customFormat="false" ht="34.5" hidden="false" customHeight="true" outlineLevel="0" collapsed="false">
      <c r="A47" s="3" t="s">
        <v>75</v>
      </c>
      <c r="B47" s="3" t="s">
        <v>75</v>
      </c>
      <c r="C47" s="4" t="s">
        <v>15</v>
      </c>
      <c r="D47" s="3" t="s">
        <v>16</v>
      </c>
      <c r="E47" s="5" t="n">
        <v>4900</v>
      </c>
      <c r="F47" s="3" t="s">
        <v>16</v>
      </c>
      <c r="G47" s="5" t="n">
        <v>4900</v>
      </c>
      <c r="H47" s="5" t="n">
        <f aca="false">ROUND(ABS(G47)-ABS(E47),2)</f>
        <v>0</v>
      </c>
      <c r="I47" s="3" t="s">
        <v>78</v>
      </c>
      <c r="J47" s="3"/>
      <c r="K47" s="3"/>
      <c r="L47" s="3" t="s">
        <v>79</v>
      </c>
      <c r="M47" s="3" t="s">
        <v>80</v>
      </c>
      <c r="N47" s="3"/>
    </row>
    <row r="48" customFormat="false" ht="34.5" hidden="false" customHeight="true" outlineLevel="0" collapsed="false">
      <c r="A48" s="3" t="s">
        <v>75</v>
      </c>
      <c r="B48" s="3" t="s">
        <v>75</v>
      </c>
      <c r="C48" s="4" t="s">
        <v>15</v>
      </c>
      <c r="D48" s="3" t="s">
        <v>21</v>
      </c>
      <c r="E48" s="5" t="n">
        <v>945.1</v>
      </c>
      <c r="F48" s="3" t="s">
        <v>21</v>
      </c>
      <c r="G48" s="5" t="n">
        <v>945.1</v>
      </c>
      <c r="H48" s="5" t="n">
        <f aca="false">ROUND(ABS(G48)-ABS(E48),2)</f>
        <v>0</v>
      </c>
      <c r="I48" s="3" t="s">
        <v>78</v>
      </c>
      <c r="J48" s="3"/>
      <c r="K48" s="3"/>
      <c r="L48" s="3" t="s">
        <v>79</v>
      </c>
      <c r="M48" s="3" t="s">
        <v>81</v>
      </c>
      <c r="N48" s="3"/>
    </row>
    <row r="49" customFormat="false" ht="34.5" hidden="false" customHeight="true" outlineLevel="0" collapsed="false">
      <c r="A49" s="3" t="s">
        <v>75</v>
      </c>
      <c r="B49" s="3" t="s">
        <v>75</v>
      </c>
      <c r="C49" s="4" t="s">
        <v>15</v>
      </c>
      <c r="D49" s="3" t="s">
        <v>22</v>
      </c>
      <c r="E49" s="5" t="n">
        <v>50</v>
      </c>
      <c r="F49" s="3" t="s">
        <v>22</v>
      </c>
      <c r="G49" s="5" t="n">
        <v>50</v>
      </c>
      <c r="H49" s="5" t="n">
        <f aca="false">ROUND(ABS(G49)-ABS(E49),2)</f>
        <v>0</v>
      </c>
      <c r="I49" s="3" t="s">
        <v>78</v>
      </c>
      <c r="J49" s="3"/>
      <c r="K49" s="3"/>
      <c r="L49" s="3" t="s">
        <v>82</v>
      </c>
      <c r="M49" s="3" t="s">
        <v>83</v>
      </c>
      <c r="N49" s="3"/>
    </row>
    <row r="50" customFormat="false" ht="34.5" hidden="false" customHeight="true" outlineLevel="0" collapsed="false">
      <c r="A50" s="3" t="s">
        <v>75</v>
      </c>
      <c r="B50" s="3" t="s">
        <v>75</v>
      </c>
      <c r="C50" s="4" t="s">
        <v>15</v>
      </c>
      <c r="D50" s="3" t="s">
        <v>24</v>
      </c>
      <c r="E50" s="5" t="n">
        <v>1713.5</v>
      </c>
      <c r="F50" s="3" t="s">
        <v>24</v>
      </c>
      <c r="G50" s="5" t="n">
        <v>1713.5</v>
      </c>
      <c r="H50" s="5" t="n">
        <f aca="false">ROUND(ABS(G50)-ABS(E50),2)</f>
        <v>0</v>
      </c>
      <c r="I50" s="3" t="s">
        <v>78</v>
      </c>
      <c r="J50" s="3"/>
      <c r="K50" s="3"/>
      <c r="L50" s="3" t="s">
        <v>79</v>
      </c>
      <c r="M50" s="3" t="s">
        <v>84</v>
      </c>
      <c r="N50" s="3"/>
    </row>
    <row r="51" customFormat="false" ht="34.5" hidden="false" customHeight="true" outlineLevel="0" collapsed="false">
      <c r="A51" s="3" t="s">
        <v>75</v>
      </c>
      <c r="B51" s="3" t="s">
        <v>75</v>
      </c>
      <c r="C51" s="6" t="s">
        <v>28</v>
      </c>
      <c r="D51" s="3" t="s">
        <v>25</v>
      </c>
      <c r="E51" s="5" t="n">
        <v>41.68</v>
      </c>
      <c r="F51" s="3" t="s">
        <v>25</v>
      </c>
      <c r="G51" s="5" t="n">
        <v>0</v>
      </c>
      <c r="H51" s="5" t="n">
        <f aca="false">ROUND(ABS(G51)-ABS(E51),2)</f>
        <v>-41.68</v>
      </c>
      <c r="I51" s="3" t="s">
        <v>78</v>
      </c>
      <c r="J51" s="3" t="s">
        <v>45</v>
      </c>
      <c r="K51" s="3"/>
      <c r="L51" s="3" t="s">
        <v>85</v>
      </c>
      <c r="M51" s="3"/>
      <c r="N51" s="3" t="s">
        <v>62</v>
      </c>
    </row>
    <row r="52" customFormat="false" ht="23.25" hidden="false" customHeight="true" outlineLevel="0" collapsed="false">
      <c r="A52" s="3" t="s">
        <v>75</v>
      </c>
      <c r="B52" s="3" t="s">
        <v>75</v>
      </c>
      <c r="C52" s="7" t="s">
        <v>37</v>
      </c>
      <c r="D52" s="3" t="s">
        <v>29</v>
      </c>
      <c r="E52" s="5" t="s">
        <v>37</v>
      </c>
      <c r="F52" s="3" t="s">
        <v>29</v>
      </c>
      <c r="G52" s="5" t="s">
        <v>37</v>
      </c>
      <c r="H52" s="5" t="s">
        <v>37</v>
      </c>
      <c r="I52" s="3" t="s">
        <v>78</v>
      </c>
      <c r="J52" s="3" t="s">
        <v>38</v>
      </c>
      <c r="K52" s="3"/>
      <c r="L52" s="3" t="s">
        <v>39</v>
      </c>
      <c r="M52" s="3"/>
      <c r="N52" s="3" t="s">
        <v>40</v>
      </c>
    </row>
    <row r="53" customFormat="false" ht="34.5" hidden="false" customHeight="true" outlineLevel="0" collapsed="false">
      <c r="A53" s="3" t="s">
        <v>75</v>
      </c>
      <c r="B53" s="3" t="s">
        <v>75</v>
      </c>
      <c r="C53" s="4" t="s">
        <v>15</v>
      </c>
      <c r="D53" s="3" t="s">
        <v>16</v>
      </c>
      <c r="E53" s="5" t="n">
        <v>3000</v>
      </c>
      <c r="F53" s="3" t="s">
        <v>16</v>
      </c>
      <c r="G53" s="5" t="n">
        <v>3000</v>
      </c>
      <c r="H53" s="5" t="n">
        <f aca="false">ROUND(ABS(G53)-ABS(E53),2)</f>
        <v>0</v>
      </c>
      <c r="I53" s="3" t="s">
        <v>86</v>
      </c>
      <c r="J53" s="3"/>
      <c r="K53" s="3"/>
      <c r="L53" s="3" t="s">
        <v>79</v>
      </c>
      <c r="M53" s="3" t="s">
        <v>87</v>
      </c>
      <c r="N53" s="3"/>
    </row>
    <row r="54" customFormat="false" ht="34.5" hidden="false" customHeight="true" outlineLevel="0" collapsed="false">
      <c r="A54" s="3" t="s">
        <v>75</v>
      </c>
      <c r="B54" s="3" t="s">
        <v>75</v>
      </c>
      <c r="C54" s="4" t="s">
        <v>15</v>
      </c>
      <c r="D54" s="3" t="s">
        <v>21</v>
      </c>
      <c r="E54" s="5" t="n">
        <v>964</v>
      </c>
      <c r="F54" s="3" t="s">
        <v>21</v>
      </c>
      <c r="G54" s="5" t="n">
        <v>964</v>
      </c>
      <c r="H54" s="5" t="n">
        <f aca="false">ROUND(ABS(G54)-ABS(E54),2)</f>
        <v>0</v>
      </c>
      <c r="I54" s="3" t="s">
        <v>86</v>
      </c>
      <c r="J54" s="3"/>
      <c r="K54" s="3"/>
      <c r="L54" s="3" t="s">
        <v>79</v>
      </c>
      <c r="M54" s="3" t="s">
        <v>88</v>
      </c>
      <c r="N54" s="3"/>
    </row>
    <row r="55" customFormat="false" ht="34.5" hidden="false" customHeight="true" outlineLevel="0" collapsed="false">
      <c r="A55" s="3" t="s">
        <v>75</v>
      </c>
      <c r="B55" s="3" t="s">
        <v>75</v>
      </c>
      <c r="C55" s="4" t="s">
        <v>15</v>
      </c>
      <c r="D55" s="3" t="s">
        <v>24</v>
      </c>
      <c r="E55" s="5" t="n">
        <v>1458.16</v>
      </c>
      <c r="F55" s="3" t="s">
        <v>24</v>
      </c>
      <c r="G55" s="5" t="n">
        <v>1458.16</v>
      </c>
      <c r="H55" s="5" t="n">
        <f aca="false">ROUND(ABS(G55)-ABS(E55),2)</f>
        <v>0</v>
      </c>
      <c r="I55" s="3" t="s">
        <v>86</v>
      </c>
      <c r="J55" s="3"/>
      <c r="K55" s="3"/>
      <c r="L55" s="3" t="s">
        <v>79</v>
      </c>
      <c r="M55" s="3" t="s">
        <v>89</v>
      </c>
      <c r="N55" s="3"/>
    </row>
    <row r="56" customFormat="false" ht="34.5" hidden="false" customHeight="true" outlineLevel="0" collapsed="false">
      <c r="A56" s="3" t="s">
        <v>75</v>
      </c>
      <c r="B56" s="3" t="s">
        <v>75</v>
      </c>
      <c r="C56" s="7" t="s">
        <v>37</v>
      </c>
      <c r="D56" s="3" t="s">
        <v>25</v>
      </c>
      <c r="E56" s="5" t="n">
        <v>70.64</v>
      </c>
      <c r="F56" s="3" t="s">
        <v>25</v>
      </c>
      <c r="G56" s="5" t="n">
        <v>152.34</v>
      </c>
      <c r="H56" s="5" t="n">
        <f aca="false">ROUND(ABS(G56)-ABS(E56),2)</f>
        <v>81.7</v>
      </c>
      <c r="I56" s="3" t="s">
        <v>86</v>
      </c>
      <c r="J56" s="3"/>
      <c r="K56" s="3"/>
      <c r="L56" s="3" t="s">
        <v>85</v>
      </c>
      <c r="M56" s="3" t="s">
        <v>90</v>
      </c>
      <c r="N56" s="3" t="s">
        <v>62</v>
      </c>
    </row>
    <row r="57" customFormat="false" ht="23.25" hidden="false" customHeight="true" outlineLevel="0" collapsed="false">
      <c r="A57" s="3" t="s">
        <v>75</v>
      </c>
      <c r="B57" s="3" t="s">
        <v>75</v>
      </c>
      <c r="C57" s="7" t="s">
        <v>37</v>
      </c>
      <c r="D57" s="3" t="s">
        <v>29</v>
      </c>
      <c r="E57" s="5" t="s">
        <v>37</v>
      </c>
      <c r="F57" s="3" t="s">
        <v>29</v>
      </c>
      <c r="G57" s="5" t="s">
        <v>37</v>
      </c>
      <c r="H57" s="5" t="s">
        <v>37</v>
      </c>
      <c r="I57" s="3" t="s">
        <v>86</v>
      </c>
      <c r="J57" s="3" t="s">
        <v>38</v>
      </c>
      <c r="K57" s="3"/>
      <c r="L57" s="3" t="s">
        <v>39</v>
      </c>
      <c r="M57" s="3"/>
      <c r="N57" s="3" t="s">
        <v>40</v>
      </c>
    </row>
    <row r="58" customFormat="false" ht="15" hidden="false" customHeight="true" outlineLevel="0" collapsed="false">
      <c r="A58" s="3" t="s">
        <v>75</v>
      </c>
      <c r="B58" s="3" t="s">
        <v>75</v>
      </c>
      <c r="C58" s="7" t="s">
        <v>37</v>
      </c>
      <c r="D58" s="3" t="s">
        <v>25</v>
      </c>
      <c r="E58" s="5" t="n">
        <v>40.02</v>
      </c>
      <c r="F58" s="3" t="s">
        <v>25</v>
      </c>
      <c r="G58" s="5" t="s">
        <v>37</v>
      </c>
      <c r="H58" s="5" t="s">
        <v>37</v>
      </c>
      <c r="I58" s="3" t="s">
        <v>70</v>
      </c>
      <c r="J58" s="3" t="s">
        <v>71</v>
      </c>
      <c r="K58" s="3"/>
      <c r="L58" s="3" t="s">
        <v>72</v>
      </c>
      <c r="M58" s="3"/>
      <c r="N58" s="3" t="s">
        <v>73</v>
      </c>
    </row>
    <row r="59" customFormat="false" ht="75.75" hidden="false" customHeight="true" outlineLevel="0" collapsed="false">
      <c r="A59" s="8" t="s">
        <v>75</v>
      </c>
      <c r="B59" s="8" t="s">
        <v>75</v>
      </c>
      <c r="C59" s="8" t="s">
        <v>28</v>
      </c>
      <c r="D59" s="8" t="s">
        <v>47</v>
      </c>
      <c r="E59" s="8" t="s">
        <v>91</v>
      </c>
      <c r="F59" s="8" t="s">
        <v>47</v>
      </c>
      <c r="G59" s="8" t="s">
        <v>18</v>
      </c>
      <c r="H59" s="8"/>
      <c r="I59" s="8" t="s">
        <v>49</v>
      </c>
      <c r="J59" s="8" t="s">
        <v>18</v>
      </c>
      <c r="K59" s="8"/>
      <c r="L59" s="8" t="s">
        <v>76</v>
      </c>
      <c r="M59" s="8" t="s">
        <v>77</v>
      </c>
      <c r="N59" s="8" t="s">
        <v>50</v>
      </c>
    </row>
    <row r="60" customFormat="false" ht="23.25" hidden="false" customHeight="true" outlineLevel="0" collapsed="false">
      <c r="A60" s="3" t="s">
        <v>92</v>
      </c>
      <c r="B60" s="3" t="s">
        <v>92</v>
      </c>
      <c r="C60" s="4" t="s">
        <v>15</v>
      </c>
      <c r="D60" s="3" t="s">
        <v>16</v>
      </c>
      <c r="E60" s="5" t="n">
        <v>7225</v>
      </c>
      <c r="F60" s="3" t="s">
        <v>16</v>
      </c>
      <c r="G60" s="5" t="n">
        <v>7225</v>
      </c>
      <c r="H60" s="5" t="n">
        <f aca="false">ROUND(ABS(G60)-ABS(E60),2)</f>
        <v>0</v>
      </c>
      <c r="I60" s="3" t="s">
        <v>17</v>
      </c>
      <c r="J60" s="3" t="s">
        <v>18</v>
      </c>
      <c r="K60" s="3"/>
      <c r="L60" s="3" t="s">
        <v>93</v>
      </c>
      <c r="M60" s="3" t="s">
        <v>94</v>
      </c>
      <c r="N60" s="3"/>
    </row>
    <row r="61" customFormat="false" ht="23.25" hidden="false" customHeight="true" outlineLevel="0" collapsed="false">
      <c r="A61" s="3" t="s">
        <v>92</v>
      </c>
      <c r="B61" s="3" t="s">
        <v>92</v>
      </c>
      <c r="C61" s="4" t="s">
        <v>15</v>
      </c>
      <c r="D61" s="3" t="s">
        <v>21</v>
      </c>
      <c r="E61" s="5" t="n">
        <v>1381.83</v>
      </c>
      <c r="F61" s="3" t="s">
        <v>21</v>
      </c>
      <c r="G61" s="5" t="n">
        <v>1381.83</v>
      </c>
      <c r="H61" s="5" t="n">
        <f aca="false">ROUND(ABS(G61)-ABS(E61),2)</f>
        <v>0</v>
      </c>
      <c r="I61" s="3" t="s">
        <v>17</v>
      </c>
      <c r="J61" s="3" t="s">
        <v>18</v>
      </c>
      <c r="K61" s="3"/>
      <c r="L61" s="3" t="s">
        <v>93</v>
      </c>
      <c r="M61" s="3" t="s">
        <v>94</v>
      </c>
      <c r="N61" s="3"/>
    </row>
    <row r="62" customFormat="false" ht="23.25" hidden="false" customHeight="true" outlineLevel="0" collapsed="false">
      <c r="A62" s="3" t="s">
        <v>92</v>
      </c>
      <c r="B62" s="3" t="s">
        <v>92</v>
      </c>
      <c r="C62" s="4" t="s">
        <v>15</v>
      </c>
      <c r="D62" s="3" t="s">
        <v>22</v>
      </c>
      <c r="E62" s="5" t="n">
        <v>115.25</v>
      </c>
      <c r="F62" s="3" t="s">
        <v>22</v>
      </c>
      <c r="G62" s="5" t="n">
        <v>115.25</v>
      </c>
      <c r="H62" s="5" t="n">
        <f aca="false">ROUND(ABS(G62)-ABS(E62),2)</f>
        <v>0</v>
      </c>
      <c r="I62" s="3" t="s">
        <v>17</v>
      </c>
      <c r="J62" s="3" t="s">
        <v>18</v>
      </c>
      <c r="K62" s="3"/>
      <c r="L62" s="3" t="s">
        <v>93</v>
      </c>
      <c r="M62" s="3" t="s">
        <v>94</v>
      </c>
      <c r="N62" s="3" t="s">
        <v>23</v>
      </c>
    </row>
    <row r="63" customFormat="false" ht="23.25" hidden="false" customHeight="true" outlineLevel="0" collapsed="false">
      <c r="A63" s="3" t="s">
        <v>92</v>
      </c>
      <c r="B63" s="3" t="s">
        <v>92</v>
      </c>
      <c r="C63" s="4" t="s">
        <v>15</v>
      </c>
      <c r="D63" s="3" t="s">
        <v>24</v>
      </c>
      <c r="E63" s="5" t="n">
        <v>3979.4</v>
      </c>
      <c r="F63" s="3" t="s">
        <v>24</v>
      </c>
      <c r="G63" s="5" t="n">
        <v>3979.4</v>
      </c>
      <c r="H63" s="5" t="n">
        <f aca="false">ROUND(ABS(G63)-ABS(E63),2)</f>
        <v>0</v>
      </c>
      <c r="I63" s="3" t="s">
        <v>17</v>
      </c>
      <c r="J63" s="3" t="s">
        <v>18</v>
      </c>
      <c r="K63" s="3"/>
      <c r="L63" s="3" t="s">
        <v>93</v>
      </c>
      <c r="M63" s="3" t="s">
        <v>94</v>
      </c>
      <c r="N63" s="3"/>
    </row>
    <row r="64" customFormat="false" ht="23.25" hidden="false" customHeight="true" outlineLevel="0" collapsed="false">
      <c r="A64" s="3" t="s">
        <v>92</v>
      </c>
      <c r="B64" s="3" t="s">
        <v>92</v>
      </c>
      <c r="C64" s="4" t="s">
        <v>15</v>
      </c>
      <c r="D64" s="3" t="s">
        <v>25</v>
      </c>
      <c r="E64" s="5" t="n">
        <v>189.66</v>
      </c>
      <c r="F64" s="3" t="s">
        <v>25</v>
      </c>
      <c r="G64" s="5" t="n">
        <v>189.66</v>
      </c>
      <c r="H64" s="5" t="n">
        <f aca="false">ROUND(ABS(G64)-ABS(E64),2)</f>
        <v>0</v>
      </c>
      <c r="I64" s="3" t="s">
        <v>17</v>
      </c>
      <c r="J64" s="3" t="s">
        <v>18</v>
      </c>
      <c r="K64" s="3"/>
      <c r="L64" s="3" t="s">
        <v>93</v>
      </c>
      <c r="M64" s="3" t="s">
        <v>94</v>
      </c>
      <c r="N64" s="3"/>
    </row>
    <row r="65" customFormat="false" ht="23.25" hidden="false" customHeight="true" outlineLevel="0" collapsed="false">
      <c r="A65" s="3" t="s">
        <v>92</v>
      </c>
      <c r="B65" s="3" t="s">
        <v>92</v>
      </c>
      <c r="C65" s="4" t="s">
        <v>15</v>
      </c>
      <c r="D65" s="3" t="s">
        <v>26</v>
      </c>
      <c r="E65" s="5" t="n">
        <v>0</v>
      </c>
      <c r="F65" s="3" t="s">
        <v>26</v>
      </c>
      <c r="G65" s="5" t="n">
        <v>0</v>
      </c>
      <c r="H65" s="5" t="n">
        <f aca="false">ROUND(ABS(G65)-ABS(E65),2)</f>
        <v>0</v>
      </c>
      <c r="I65" s="3" t="s">
        <v>17</v>
      </c>
      <c r="J65" s="3" t="s">
        <v>18</v>
      </c>
      <c r="K65" s="3"/>
      <c r="L65" s="3" t="s">
        <v>93</v>
      </c>
      <c r="M65" s="3" t="s">
        <v>94</v>
      </c>
      <c r="N65" s="3" t="s">
        <v>27</v>
      </c>
    </row>
    <row r="66" customFormat="false" ht="23.25" hidden="false" customHeight="true" outlineLevel="0" collapsed="false">
      <c r="A66" s="3" t="s">
        <v>92</v>
      </c>
      <c r="B66" s="3" t="s">
        <v>92</v>
      </c>
      <c r="C66" s="6" t="s">
        <v>28</v>
      </c>
      <c r="D66" s="3" t="s">
        <v>29</v>
      </c>
      <c r="E66" s="5" t="n">
        <v>1418.86</v>
      </c>
      <c r="F66" s="3" t="s">
        <v>29</v>
      </c>
      <c r="G66" s="5" t="n">
        <v>-4917.91</v>
      </c>
      <c r="H66" s="5" t="n">
        <f aca="false">ROUND(ABS(G66)-ABS(E66),2)</f>
        <v>3499.05</v>
      </c>
      <c r="I66" s="3" t="s">
        <v>17</v>
      </c>
      <c r="J66" s="3" t="s">
        <v>18</v>
      </c>
      <c r="K66" s="3"/>
      <c r="L66" s="3" t="s">
        <v>93</v>
      </c>
      <c r="M66" s="3" t="s">
        <v>94</v>
      </c>
      <c r="N66" s="3" t="s">
        <v>30</v>
      </c>
    </row>
    <row r="67" customFormat="false" ht="34.5" hidden="false" customHeight="true" outlineLevel="0" collapsed="false">
      <c r="A67" s="3" t="s">
        <v>92</v>
      </c>
      <c r="B67" s="3" t="s">
        <v>92</v>
      </c>
      <c r="C67" s="4" t="s">
        <v>15</v>
      </c>
      <c r="D67" s="3" t="s">
        <v>16</v>
      </c>
      <c r="E67" s="5" t="n">
        <v>3800</v>
      </c>
      <c r="F67" s="3" t="s">
        <v>16</v>
      </c>
      <c r="G67" s="5" t="n">
        <v>3800</v>
      </c>
      <c r="H67" s="5" t="n">
        <f aca="false">ROUND(ABS(G67)-ABS(E67),2)</f>
        <v>0</v>
      </c>
      <c r="I67" s="3" t="s">
        <v>95</v>
      </c>
      <c r="J67" s="3"/>
      <c r="K67" s="3"/>
      <c r="L67" s="3" t="s">
        <v>96</v>
      </c>
      <c r="M67" s="3" t="s">
        <v>97</v>
      </c>
      <c r="N67" s="3"/>
    </row>
    <row r="68" customFormat="false" ht="34.5" hidden="false" customHeight="true" outlineLevel="0" collapsed="false">
      <c r="A68" s="3" t="s">
        <v>92</v>
      </c>
      <c r="B68" s="3" t="s">
        <v>92</v>
      </c>
      <c r="C68" s="4" t="s">
        <v>15</v>
      </c>
      <c r="D68" s="3" t="s">
        <v>21</v>
      </c>
      <c r="E68" s="5" t="n">
        <v>485.87</v>
      </c>
      <c r="F68" s="3" t="s">
        <v>21</v>
      </c>
      <c r="G68" s="5" t="n">
        <v>485.87</v>
      </c>
      <c r="H68" s="5" t="n">
        <f aca="false">ROUND(ABS(G68)-ABS(E68),2)</f>
        <v>0</v>
      </c>
      <c r="I68" s="3" t="s">
        <v>95</v>
      </c>
      <c r="J68" s="3"/>
      <c r="K68" s="3"/>
      <c r="L68" s="3" t="s">
        <v>96</v>
      </c>
      <c r="M68" s="3" t="s">
        <v>98</v>
      </c>
      <c r="N68" s="3"/>
    </row>
    <row r="69" customFormat="false" ht="34.5" hidden="false" customHeight="true" outlineLevel="0" collapsed="false">
      <c r="A69" s="3" t="s">
        <v>92</v>
      </c>
      <c r="B69" s="3" t="s">
        <v>92</v>
      </c>
      <c r="C69" s="4" t="s">
        <v>15</v>
      </c>
      <c r="D69" s="3" t="s">
        <v>22</v>
      </c>
      <c r="E69" s="5" t="n">
        <v>50</v>
      </c>
      <c r="F69" s="3" t="s">
        <v>22</v>
      </c>
      <c r="G69" s="5" t="n">
        <v>50</v>
      </c>
      <c r="H69" s="5" t="n">
        <f aca="false">ROUND(ABS(G69)-ABS(E69),2)</f>
        <v>0</v>
      </c>
      <c r="I69" s="3" t="s">
        <v>95</v>
      </c>
      <c r="J69" s="3"/>
      <c r="K69" s="3"/>
      <c r="L69" s="3" t="s">
        <v>99</v>
      </c>
      <c r="M69" s="3" t="s">
        <v>100</v>
      </c>
      <c r="N69" s="3"/>
    </row>
    <row r="70" customFormat="false" ht="34.5" hidden="false" customHeight="true" outlineLevel="0" collapsed="false">
      <c r="A70" s="3" t="s">
        <v>92</v>
      </c>
      <c r="B70" s="3" t="s">
        <v>92</v>
      </c>
      <c r="C70" s="4" t="s">
        <v>15</v>
      </c>
      <c r="D70" s="3" t="s">
        <v>24</v>
      </c>
      <c r="E70" s="5" t="n">
        <v>1729.3</v>
      </c>
      <c r="F70" s="3" t="s">
        <v>24</v>
      </c>
      <c r="G70" s="5" t="n">
        <v>1729.3</v>
      </c>
      <c r="H70" s="5" t="n">
        <f aca="false">ROUND(ABS(G70)-ABS(E70),2)</f>
        <v>0</v>
      </c>
      <c r="I70" s="3" t="s">
        <v>95</v>
      </c>
      <c r="J70" s="3"/>
      <c r="K70" s="3"/>
      <c r="L70" s="3" t="s">
        <v>96</v>
      </c>
      <c r="M70" s="3" t="s">
        <v>101</v>
      </c>
      <c r="N70" s="3"/>
    </row>
    <row r="71" customFormat="false" ht="34.5" hidden="false" customHeight="true" outlineLevel="0" collapsed="false">
      <c r="A71" s="3" t="s">
        <v>92</v>
      </c>
      <c r="B71" s="3" t="s">
        <v>92</v>
      </c>
      <c r="C71" s="6" t="s">
        <v>28</v>
      </c>
      <c r="D71" s="3" t="s">
        <v>25</v>
      </c>
      <c r="E71" s="5" t="n">
        <v>66.05</v>
      </c>
      <c r="F71" s="3" t="s">
        <v>25</v>
      </c>
      <c r="G71" s="5" t="n">
        <v>0</v>
      </c>
      <c r="H71" s="5" t="n">
        <f aca="false">ROUND(ABS(G71)-ABS(E71),2)</f>
        <v>-66.05</v>
      </c>
      <c r="I71" s="3" t="s">
        <v>95</v>
      </c>
      <c r="J71" s="3" t="s">
        <v>45</v>
      </c>
      <c r="K71" s="3"/>
      <c r="L71" s="3" t="s">
        <v>102</v>
      </c>
      <c r="M71" s="3"/>
      <c r="N71" s="3" t="s">
        <v>62</v>
      </c>
    </row>
    <row r="72" customFormat="false" ht="23.25" hidden="false" customHeight="true" outlineLevel="0" collapsed="false">
      <c r="A72" s="3" t="s">
        <v>92</v>
      </c>
      <c r="B72" s="3" t="s">
        <v>92</v>
      </c>
      <c r="C72" s="7" t="s">
        <v>37</v>
      </c>
      <c r="D72" s="3" t="s">
        <v>29</v>
      </c>
      <c r="E72" s="5" t="s">
        <v>37</v>
      </c>
      <c r="F72" s="3" t="s">
        <v>29</v>
      </c>
      <c r="G72" s="5" t="s">
        <v>37</v>
      </c>
      <c r="H72" s="5" t="s">
        <v>37</v>
      </c>
      <c r="I72" s="3" t="s">
        <v>95</v>
      </c>
      <c r="J72" s="3" t="s">
        <v>38</v>
      </c>
      <c r="K72" s="3"/>
      <c r="L72" s="3" t="s">
        <v>39</v>
      </c>
      <c r="M72" s="3"/>
      <c r="N72" s="3" t="s">
        <v>40</v>
      </c>
    </row>
    <row r="73" customFormat="false" ht="34.5" hidden="false" customHeight="true" outlineLevel="0" collapsed="false">
      <c r="A73" s="3" t="s">
        <v>92</v>
      </c>
      <c r="B73" s="3" t="s">
        <v>92</v>
      </c>
      <c r="C73" s="4" t="s">
        <v>15</v>
      </c>
      <c r="D73" s="3" t="s">
        <v>16</v>
      </c>
      <c r="E73" s="5" t="n">
        <v>1200</v>
      </c>
      <c r="F73" s="3" t="s">
        <v>16</v>
      </c>
      <c r="G73" s="5" t="n">
        <v>1200</v>
      </c>
      <c r="H73" s="5" t="n">
        <f aca="false">ROUND(ABS(G73)-ABS(E73),2)</f>
        <v>0</v>
      </c>
      <c r="I73" s="3" t="s">
        <v>103</v>
      </c>
      <c r="J73" s="3"/>
      <c r="K73" s="3"/>
      <c r="L73" s="3" t="s">
        <v>96</v>
      </c>
      <c r="M73" s="3" t="s">
        <v>104</v>
      </c>
      <c r="N73" s="3"/>
    </row>
    <row r="74" customFormat="false" ht="34.5" hidden="false" customHeight="true" outlineLevel="0" collapsed="false">
      <c r="A74" s="3" t="s">
        <v>92</v>
      </c>
      <c r="B74" s="3" t="s">
        <v>92</v>
      </c>
      <c r="C74" s="4" t="s">
        <v>15</v>
      </c>
      <c r="D74" s="3" t="s">
        <v>21</v>
      </c>
      <c r="E74" s="5" t="n">
        <v>228.56</v>
      </c>
      <c r="F74" s="3" t="s">
        <v>21</v>
      </c>
      <c r="G74" s="5" t="n">
        <v>228.56</v>
      </c>
      <c r="H74" s="5" t="n">
        <f aca="false">ROUND(ABS(G74)-ABS(E74),2)</f>
        <v>0</v>
      </c>
      <c r="I74" s="3" t="s">
        <v>103</v>
      </c>
      <c r="J74" s="3"/>
      <c r="K74" s="3"/>
      <c r="L74" s="3" t="s">
        <v>96</v>
      </c>
      <c r="M74" s="3" t="s">
        <v>105</v>
      </c>
      <c r="N74" s="3"/>
    </row>
    <row r="75" customFormat="false" ht="34.5" hidden="false" customHeight="true" outlineLevel="0" collapsed="false">
      <c r="A75" s="3" t="s">
        <v>92</v>
      </c>
      <c r="B75" s="3" t="s">
        <v>92</v>
      </c>
      <c r="C75" s="4" t="s">
        <v>15</v>
      </c>
      <c r="D75" s="3" t="s">
        <v>24</v>
      </c>
      <c r="E75" s="5" t="n">
        <v>449.47</v>
      </c>
      <c r="F75" s="3" t="s">
        <v>24</v>
      </c>
      <c r="G75" s="5" t="n">
        <v>449.47</v>
      </c>
      <c r="H75" s="5" t="n">
        <f aca="false">ROUND(ABS(G75)-ABS(E75),2)</f>
        <v>0</v>
      </c>
      <c r="I75" s="3" t="s">
        <v>103</v>
      </c>
      <c r="J75" s="3"/>
      <c r="K75" s="3"/>
      <c r="L75" s="3" t="s">
        <v>96</v>
      </c>
      <c r="M75" s="3" t="s">
        <v>106</v>
      </c>
      <c r="N75" s="3"/>
    </row>
    <row r="76" customFormat="false" ht="23.25" hidden="false" customHeight="true" outlineLevel="0" collapsed="false">
      <c r="A76" s="3" t="s">
        <v>92</v>
      </c>
      <c r="B76" s="3" t="s">
        <v>92</v>
      </c>
      <c r="C76" s="7" t="s">
        <v>37</v>
      </c>
      <c r="D76" s="3" t="s">
        <v>29</v>
      </c>
      <c r="E76" s="5" t="s">
        <v>37</v>
      </c>
      <c r="F76" s="3" t="s">
        <v>29</v>
      </c>
      <c r="G76" s="5" t="s">
        <v>37</v>
      </c>
      <c r="H76" s="5" t="s">
        <v>37</v>
      </c>
      <c r="I76" s="3" t="s">
        <v>103</v>
      </c>
      <c r="J76" s="3" t="s">
        <v>38</v>
      </c>
      <c r="K76" s="3"/>
      <c r="L76" s="3" t="s">
        <v>39</v>
      </c>
      <c r="M76" s="3"/>
      <c r="N76" s="3" t="s">
        <v>40</v>
      </c>
    </row>
    <row r="77" customFormat="false" ht="34.5" hidden="false" customHeight="true" outlineLevel="0" collapsed="false">
      <c r="A77" s="3" t="s">
        <v>92</v>
      </c>
      <c r="B77" s="3" t="s">
        <v>92</v>
      </c>
      <c r="C77" s="4" t="s">
        <v>15</v>
      </c>
      <c r="D77" s="3" t="s">
        <v>16</v>
      </c>
      <c r="E77" s="5" t="n">
        <v>1700</v>
      </c>
      <c r="F77" s="3" t="s">
        <v>16</v>
      </c>
      <c r="G77" s="5" t="n">
        <v>1700</v>
      </c>
      <c r="H77" s="5" t="n">
        <f aca="false">ROUND(ABS(G77)-ABS(E77),2)</f>
        <v>0</v>
      </c>
      <c r="I77" s="3" t="s">
        <v>107</v>
      </c>
      <c r="J77" s="3"/>
      <c r="K77" s="3"/>
      <c r="L77" s="3" t="s">
        <v>96</v>
      </c>
      <c r="M77" s="3" t="s">
        <v>108</v>
      </c>
      <c r="N77" s="3"/>
    </row>
    <row r="78" customFormat="false" ht="34.5" hidden="false" customHeight="true" outlineLevel="0" collapsed="false">
      <c r="A78" s="3" t="s">
        <v>92</v>
      </c>
      <c r="B78" s="3" t="s">
        <v>92</v>
      </c>
      <c r="C78" s="4" t="s">
        <v>15</v>
      </c>
      <c r="D78" s="3" t="s">
        <v>21</v>
      </c>
      <c r="E78" s="5" t="n">
        <v>422.46</v>
      </c>
      <c r="F78" s="3" t="s">
        <v>21</v>
      </c>
      <c r="G78" s="5" t="n">
        <v>422.46</v>
      </c>
      <c r="H78" s="5" t="n">
        <f aca="false">ROUND(ABS(G78)-ABS(E78),2)</f>
        <v>0</v>
      </c>
      <c r="I78" s="3" t="s">
        <v>107</v>
      </c>
      <c r="J78" s="3"/>
      <c r="K78" s="3"/>
      <c r="L78" s="3" t="s">
        <v>96</v>
      </c>
      <c r="M78" s="3" t="s">
        <v>109</v>
      </c>
      <c r="N78" s="3"/>
    </row>
    <row r="79" customFormat="false" ht="34.5" hidden="false" customHeight="true" outlineLevel="0" collapsed="false">
      <c r="A79" s="3" t="s">
        <v>92</v>
      </c>
      <c r="B79" s="3" t="s">
        <v>92</v>
      </c>
      <c r="C79" s="4" t="s">
        <v>15</v>
      </c>
      <c r="D79" s="3" t="s">
        <v>22</v>
      </c>
      <c r="E79" s="5" t="n">
        <v>50</v>
      </c>
      <c r="F79" s="3" t="s">
        <v>22</v>
      </c>
      <c r="G79" s="5" t="n">
        <v>50</v>
      </c>
      <c r="H79" s="5" t="n">
        <f aca="false">ROUND(ABS(G79)-ABS(E79),2)</f>
        <v>0</v>
      </c>
      <c r="I79" s="3" t="s">
        <v>107</v>
      </c>
      <c r="J79" s="3"/>
      <c r="K79" s="3"/>
      <c r="L79" s="3" t="s">
        <v>99</v>
      </c>
      <c r="M79" s="3" t="s">
        <v>110</v>
      </c>
      <c r="N79" s="3"/>
    </row>
    <row r="80" customFormat="false" ht="34.5" hidden="false" customHeight="true" outlineLevel="0" collapsed="false">
      <c r="A80" s="3" t="s">
        <v>92</v>
      </c>
      <c r="B80" s="3" t="s">
        <v>92</v>
      </c>
      <c r="C80" s="4" t="s">
        <v>15</v>
      </c>
      <c r="D80" s="3" t="s">
        <v>24</v>
      </c>
      <c r="E80" s="5" t="n">
        <v>1066.44</v>
      </c>
      <c r="F80" s="3" t="s">
        <v>24</v>
      </c>
      <c r="G80" s="5" t="n">
        <v>1066.44</v>
      </c>
      <c r="H80" s="5" t="n">
        <f aca="false">ROUND(ABS(G80)-ABS(E80),2)</f>
        <v>0</v>
      </c>
      <c r="I80" s="3" t="s">
        <v>107</v>
      </c>
      <c r="J80" s="3"/>
      <c r="K80" s="3"/>
      <c r="L80" s="3" t="s">
        <v>96</v>
      </c>
      <c r="M80" s="3" t="s">
        <v>111</v>
      </c>
      <c r="N80" s="3"/>
    </row>
    <row r="81" customFormat="false" ht="34.5" hidden="false" customHeight="true" outlineLevel="0" collapsed="false">
      <c r="A81" s="3" t="s">
        <v>92</v>
      </c>
      <c r="B81" s="3" t="s">
        <v>92</v>
      </c>
      <c r="C81" s="7" t="s">
        <v>37</v>
      </c>
      <c r="D81" s="3" t="s">
        <v>25</v>
      </c>
      <c r="E81" s="5" t="n">
        <v>0</v>
      </c>
      <c r="F81" s="3" t="s">
        <v>25</v>
      </c>
      <c r="G81" s="5" t="n">
        <v>189.66</v>
      </c>
      <c r="H81" s="5" t="n">
        <f aca="false">ROUND(ABS(G81)-ABS(E81),2)</f>
        <v>189.66</v>
      </c>
      <c r="I81" s="3" t="s">
        <v>107</v>
      </c>
      <c r="J81" s="3"/>
      <c r="K81" s="3"/>
      <c r="L81" s="3" t="s">
        <v>112</v>
      </c>
      <c r="M81" s="3" t="s">
        <v>113</v>
      </c>
      <c r="N81" s="3" t="s">
        <v>62</v>
      </c>
    </row>
    <row r="82" customFormat="false" ht="23.25" hidden="false" customHeight="true" outlineLevel="0" collapsed="false">
      <c r="A82" s="3" t="s">
        <v>92</v>
      </c>
      <c r="B82" s="3" t="s">
        <v>92</v>
      </c>
      <c r="C82" s="7" t="s">
        <v>37</v>
      </c>
      <c r="D82" s="3" t="s">
        <v>29</v>
      </c>
      <c r="E82" s="5" t="s">
        <v>37</v>
      </c>
      <c r="F82" s="3" t="s">
        <v>29</v>
      </c>
      <c r="G82" s="5" t="s">
        <v>37</v>
      </c>
      <c r="H82" s="5" t="s">
        <v>37</v>
      </c>
      <c r="I82" s="3" t="s">
        <v>107</v>
      </c>
      <c r="J82" s="3" t="s">
        <v>38</v>
      </c>
      <c r="K82" s="3"/>
      <c r="L82" s="3" t="s">
        <v>39</v>
      </c>
      <c r="M82" s="3"/>
      <c r="N82" s="3" t="s">
        <v>40</v>
      </c>
    </row>
    <row r="83" customFormat="false" ht="34.5" hidden="false" customHeight="true" outlineLevel="0" collapsed="false">
      <c r="A83" s="3" t="s">
        <v>92</v>
      </c>
      <c r="B83" s="3" t="s">
        <v>92</v>
      </c>
      <c r="C83" s="4" t="s">
        <v>15</v>
      </c>
      <c r="D83" s="3" t="s">
        <v>16</v>
      </c>
      <c r="E83" s="5" t="n">
        <v>525</v>
      </c>
      <c r="F83" s="3" t="s">
        <v>16</v>
      </c>
      <c r="G83" s="5" t="n">
        <v>525</v>
      </c>
      <c r="H83" s="5" t="n">
        <f aca="false">ROUND(ABS(G83)-ABS(E83),2)</f>
        <v>0</v>
      </c>
      <c r="I83" s="3" t="s">
        <v>114</v>
      </c>
      <c r="J83" s="3"/>
      <c r="K83" s="3"/>
      <c r="L83" s="3" t="s">
        <v>96</v>
      </c>
      <c r="M83" s="3" t="s">
        <v>115</v>
      </c>
      <c r="N83" s="3"/>
    </row>
    <row r="84" customFormat="false" ht="34.5" hidden="false" customHeight="true" outlineLevel="0" collapsed="false">
      <c r="A84" s="3" t="s">
        <v>92</v>
      </c>
      <c r="B84" s="3" t="s">
        <v>92</v>
      </c>
      <c r="C84" s="4" t="s">
        <v>15</v>
      </c>
      <c r="D84" s="3" t="s">
        <v>21</v>
      </c>
      <c r="E84" s="5" t="n">
        <v>244.94</v>
      </c>
      <c r="F84" s="3" t="s">
        <v>21</v>
      </c>
      <c r="G84" s="5" t="n">
        <v>244.94</v>
      </c>
      <c r="H84" s="5" t="n">
        <f aca="false">ROUND(ABS(G84)-ABS(E84),2)</f>
        <v>0</v>
      </c>
      <c r="I84" s="3" t="s">
        <v>114</v>
      </c>
      <c r="J84" s="3"/>
      <c r="K84" s="3"/>
      <c r="L84" s="3" t="s">
        <v>96</v>
      </c>
      <c r="M84" s="3" t="s">
        <v>116</v>
      </c>
      <c r="N84" s="3"/>
    </row>
    <row r="85" customFormat="false" ht="34.5" hidden="false" customHeight="true" outlineLevel="0" collapsed="false">
      <c r="A85" s="3" t="s">
        <v>92</v>
      </c>
      <c r="B85" s="3" t="s">
        <v>92</v>
      </c>
      <c r="C85" s="4" t="s">
        <v>15</v>
      </c>
      <c r="D85" s="3" t="s">
        <v>22</v>
      </c>
      <c r="E85" s="5" t="n">
        <v>15.25</v>
      </c>
      <c r="F85" s="3" t="s">
        <v>22</v>
      </c>
      <c r="G85" s="5" t="n">
        <v>15.25</v>
      </c>
      <c r="H85" s="5" t="n">
        <f aca="false">ROUND(ABS(G85)-ABS(E85),2)</f>
        <v>0</v>
      </c>
      <c r="I85" s="3" t="s">
        <v>114</v>
      </c>
      <c r="J85" s="3"/>
      <c r="K85" s="3"/>
      <c r="L85" s="3" t="s">
        <v>99</v>
      </c>
      <c r="M85" s="3" t="s">
        <v>117</v>
      </c>
      <c r="N85" s="3"/>
    </row>
    <row r="86" customFormat="false" ht="34.5" hidden="false" customHeight="true" outlineLevel="0" collapsed="false">
      <c r="A86" s="3" t="s">
        <v>92</v>
      </c>
      <c r="B86" s="3" t="s">
        <v>92</v>
      </c>
      <c r="C86" s="4" t="s">
        <v>15</v>
      </c>
      <c r="D86" s="3" t="s">
        <v>24</v>
      </c>
      <c r="E86" s="5" t="n">
        <v>734.19</v>
      </c>
      <c r="F86" s="3" t="s">
        <v>24</v>
      </c>
      <c r="G86" s="5" t="n">
        <v>734.19</v>
      </c>
      <c r="H86" s="5" t="n">
        <f aca="false">ROUND(ABS(G86)-ABS(E86),2)</f>
        <v>0</v>
      </c>
      <c r="I86" s="3" t="s">
        <v>114</v>
      </c>
      <c r="J86" s="3"/>
      <c r="K86" s="3"/>
      <c r="L86" s="3" t="s">
        <v>96</v>
      </c>
      <c r="M86" s="3" t="s">
        <v>118</v>
      </c>
      <c r="N86" s="3"/>
    </row>
    <row r="87" customFormat="false" ht="23.25" hidden="false" customHeight="true" outlineLevel="0" collapsed="false">
      <c r="A87" s="3" t="s">
        <v>92</v>
      </c>
      <c r="B87" s="3" t="s">
        <v>92</v>
      </c>
      <c r="C87" s="7" t="s">
        <v>37</v>
      </c>
      <c r="D87" s="3" t="s">
        <v>29</v>
      </c>
      <c r="E87" s="5" t="s">
        <v>37</v>
      </c>
      <c r="F87" s="3" t="s">
        <v>29</v>
      </c>
      <c r="G87" s="5" t="s">
        <v>37</v>
      </c>
      <c r="H87" s="5" t="s">
        <v>37</v>
      </c>
      <c r="I87" s="3" t="s">
        <v>114</v>
      </c>
      <c r="J87" s="3" t="s">
        <v>38</v>
      </c>
      <c r="K87" s="3"/>
      <c r="L87" s="3" t="s">
        <v>39</v>
      </c>
      <c r="M87" s="3"/>
      <c r="N87" s="3" t="s">
        <v>40</v>
      </c>
    </row>
    <row r="88" customFormat="false" ht="15" hidden="false" customHeight="true" outlineLevel="0" collapsed="false">
      <c r="A88" s="3" t="s">
        <v>92</v>
      </c>
      <c r="B88" s="3" t="s">
        <v>92</v>
      </c>
      <c r="C88" s="7" t="s">
        <v>37</v>
      </c>
      <c r="D88" s="3" t="s">
        <v>25</v>
      </c>
      <c r="E88" s="5" t="n">
        <v>123.61</v>
      </c>
      <c r="F88" s="3" t="s">
        <v>25</v>
      </c>
      <c r="G88" s="5" t="s">
        <v>37</v>
      </c>
      <c r="H88" s="5" t="s">
        <v>37</v>
      </c>
      <c r="I88" s="3" t="s">
        <v>70</v>
      </c>
      <c r="J88" s="3" t="s">
        <v>71</v>
      </c>
      <c r="K88" s="3"/>
      <c r="L88" s="3" t="s">
        <v>72</v>
      </c>
      <c r="M88" s="3"/>
      <c r="N88" s="3" t="s">
        <v>73</v>
      </c>
    </row>
    <row r="89" customFormat="false" ht="75.75" hidden="false" customHeight="true" outlineLevel="0" collapsed="false">
      <c r="A89" s="8" t="s">
        <v>92</v>
      </c>
      <c r="B89" s="8" t="s">
        <v>92</v>
      </c>
      <c r="C89" s="8" t="s">
        <v>28</v>
      </c>
      <c r="D89" s="8" t="s">
        <v>47</v>
      </c>
      <c r="E89" s="8" t="s">
        <v>119</v>
      </c>
      <c r="F89" s="8" t="s">
        <v>47</v>
      </c>
      <c r="G89" s="8" t="s">
        <v>18</v>
      </c>
      <c r="H89" s="8"/>
      <c r="I89" s="8" t="s">
        <v>49</v>
      </c>
      <c r="J89" s="8" t="s">
        <v>18</v>
      </c>
      <c r="K89" s="8"/>
      <c r="L89" s="8" t="s">
        <v>93</v>
      </c>
      <c r="M89" s="8" t="s">
        <v>94</v>
      </c>
      <c r="N89" s="8" t="s">
        <v>50</v>
      </c>
    </row>
    <row r="90" customFormat="false" ht="23.25" hidden="false" customHeight="true" outlineLevel="0" collapsed="false">
      <c r="A90" s="3" t="s">
        <v>120</v>
      </c>
      <c r="B90" s="3" t="s">
        <v>120</v>
      </c>
      <c r="C90" s="4" t="s">
        <v>15</v>
      </c>
      <c r="D90" s="3" t="s">
        <v>16</v>
      </c>
      <c r="E90" s="5" t="n">
        <v>3600</v>
      </c>
      <c r="F90" s="3" t="s">
        <v>16</v>
      </c>
      <c r="G90" s="5" t="n">
        <v>3600</v>
      </c>
      <c r="H90" s="5" t="n">
        <f aca="false">ROUND(ABS(G90)-ABS(E90),2)</f>
        <v>0</v>
      </c>
      <c r="I90" s="3" t="s">
        <v>17</v>
      </c>
      <c r="J90" s="3" t="s">
        <v>121</v>
      </c>
      <c r="K90" s="3" t="s">
        <v>122</v>
      </c>
      <c r="L90" s="3" t="s">
        <v>123</v>
      </c>
      <c r="M90" s="3" t="s">
        <v>124</v>
      </c>
      <c r="N90" s="3"/>
    </row>
    <row r="91" customFormat="false" ht="23.25" hidden="false" customHeight="true" outlineLevel="0" collapsed="false">
      <c r="A91" s="3" t="s">
        <v>120</v>
      </c>
      <c r="B91" s="3" t="s">
        <v>120</v>
      </c>
      <c r="C91" s="4" t="s">
        <v>15</v>
      </c>
      <c r="D91" s="3" t="s">
        <v>21</v>
      </c>
      <c r="E91" s="5" t="n">
        <v>1897.52</v>
      </c>
      <c r="F91" s="3" t="s">
        <v>21</v>
      </c>
      <c r="G91" s="5" t="n">
        <v>1897.52</v>
      </c>
      <c r="H91" s="5" t="n">
        <f aca="false">ROUND(ABS(G91)-ABS(E91),2)</f>
        <v>0</v>
      </c>
      <c r="I91" s="3" t="s">
        <v>17</v>
      </c>
      <c r="J91" s="3" t="s">
        <v>121</v>
      </c>
      <c r="K91" s="3" t="s">
        <v>122</v>
      </c>
      <c r="L91" s="3" t="s">
        <v>123</v>
      </c>
      <c r="M91" s="3" t="s">
        <v>124</v>
      </c>
      <c r="N91" s="3"/>
    </row>
    <row r="92" customFormat="false" ht="23.25" hidden="false" customHeight="true" outlineLevel="0" collapsed="false">
      <c r="A92" s="3" t="s">
        <v>120</v>
      </c>
      <c r="B92" s="3" t="s">
        <v>120</v>
      </c>
      <c r="C92" s="4" t="s">
        <v>15</v>
      </c>
      <c r="D92" s="3" t="s">
        <v>22</v>
      </c>
      <c r="E92" s="5" t="n">
        <v>0</v>
      </c>
      <c r="F92" s="3" t="s">
        <v>22</v>
      </c>
      <c r="G92" s="5" t="n">
        <v>0</v>
      </c>
      <c r="H92" s="5" t="n">
        <f aca="false">ROUND(ABS(G92)-ABS(E92),2)</f>
        <v>0</v>
      </c>
      <c r="I92" s="3" t="s">
        <v>17</v>
      </c>
      <c r="J92" s="3" t="s">
        <v>121</v>
      </c>
      <c r="K92" s="3" t="s">
        <v>122</v>
      </c>
      <c r="L92" s="3" t="s">
        <v>123</v>
      </c>
      <c r="M92" s="3" t="s">
        <v>124</v>
      </c>
      <c r="N92" s="3" t="s">
        <v>23</v>
      </c>
    </row>
    <row r="93" customFormat="false" ht="23.25" hidden="false" customHeight="true" outlineLevel="0" collapsed="false">
      <c r="A93" s="3" t="s">
        <v>120</v>
      </c>
      <c r="B93" s="3" t="s">
        <v>120</v>
      </c>
      <c r="C93" s="4" t="s">
        <v>15</v>
      </c>
      <c r="D93" s="3" t="s">
        <v>24</v>
      </c>
      <c r="E93" s="5" t="n">
        <v>3805.85</v>
      </c>
      <c r="F93" s="3" t="s">
        <v>24</v>
      </c>
      <c r="G93" s="5" t="n">
        <v>3805.85</v>
      </c>
      <c r="H93" s="5" t="n">
        <f aca="false">ROUND(ABS(G93)-ABS(E93),2)</f>
        <v>0</v>
      </c>
      <c r="I93" s="3" t="s">
        <v>17</v>
      </c>
      <c r="J93" s="3" t="s">
        <v>121</v>
      </c>
      <c r="K93" s="3" t="s">
        <v>122</v>
      </c>
      <c r="L93" s="3" t="s">
        <v>123</v>
      </c>
      <c r="M93" s="3" t="s">
        <v>124</v>
      </c>
      <c r="N93" s="3"/>
    </row>
    <row r="94" customFormat="false" ht="23.25" hidden="false" customHeight="true" outlineLevel="0" collapsed="false">
      <c r="A94" s="3" t="s">
        <v>120</v>
      </c>
      <c r="B94" s="3" t="s">
        <v>120</v>
      </c>
      <c r="C94" s="4" t="s">
        <v>15</v>
      </c>
      <c r="D94" s="3" t="s">
        <v>25</v>
      </c>
      <c r="E94" s="5" t="n">
        <v>196.94</v>
      </c>
      <c r="F94" s="3" t="s">
        <v>25</v>
      </c>
      <c r="G94" s="5" t="n">
        <v>196.94</v>
      </c>
      <c r="H94" s="5" t="n">
        <f aca="false">ROUND(ABS(G94)-ABS(E94),2)</f>
        <v>0</v>
      </c>
      <c r="I94" s="3" t="s">
        <v>17</v>
      </c>
      <c r="J94" s="3" t="s">
        <v>121</v>
      </c>
      <c r="K94" s="3" t="s">
        <v>122</v>
      </c>
      <c r="L94" s="3" t="s">
        <v>123</v>
      </c>
      <c r="M94" s="3" t="s">
        <v>124</v>
      </c>
      <c r="N94" s="3"/>
    </row>
    <row r="95" customFormat="false" ht="23.25" hidden="false" customHeight="true" outlineLevel="0" collapsed="false">
      <c r="A95" s="3" t="s">
        <v>120</v>
      </c>
      <c r="B95" s="3" t="s">
        <v>120</v>
      </c>
      <c r="C95" s="4" t="s">
        <v>15</v>
      </c>
      <c r="D95" s="3" t="s">
        <v>26</v>
      </c>
      <c r="E95" s="5" t="n">
        <v>0</v>
      </c>
      <c r="F95" s="3" t="s">
        <v>26</v>
      </c>
      <c r="G95" s="5" t="n">
        <v>0</v>
      </c>
      <c r="H95" s="5" t="n">
        <f aca="false">ROUND(ABS(G95)-ABS(E95),2)</f>
        <v>0</v>
      </c>
      <c r="I95" s="3" t="s">
        <v>17</v>
      </c>
      <c r="J95" s="3" t="s">
        <v>121</v>
      </c>
      <c r="K95" s="3" t="s">
        <v>122</v>
      </c>
      <c r="L95" s="3" t="s">
        <v>123</v>
      </c>
      <c r="M95" s="3" t="s">
        <v>124</v>
      </c>
      <c r="N95" s="3" t="s">
        <v>27</v>
      </c>
    </row>
    <row r="96" customFormat="false" ht="23.25" hidden="false" customHeight="true" outlineLevel="0" collapsed="false">
      <c r="A96" s="3" t="s">
        <v>120</v>
      </c>
      <c r="B96" s="3" t="s">
        <v>120</v>
      </c>
      <c r="C96" s="6" t="s">
        <v>28</v>
      </c>
      <c r="D96" s="3" t="s">
        <v>29</v>
      </c>
      <c r="E96" s="5" t="n">
        <v>4683.69</v>
      </c>
      <c r="F96" s="3" t="s">
        <v>29</v>
      </c>
      <c r="G96" s="5" t="n">
        <v>-4118.22</v>
      </c>
      <c r="H96" s="5" t="n">
        <f aca="false">ROUND(ABS(G96)-ABS(E96),2)</f>
        <v>-565.47</v>
      </c>
      <c r="I96" s="3" t="s">
        <v>17</v>
      </c>
      <c r="J96" s="3" t="s">
        <v>121</v>
      </c>
      <c r="K96" s="3" t="s">
        <v>122</v>
      </c>
      <c r="L96" s="3" t="s">
        <v>123</v>
      </c>
      <c r="M96" s="3" t="s">
        <v>124</v>
      </c>
      <c r="N96" s="3" t="s">
        <v>30</v>
      </c>
    </row>
    <row r="97" customFormat="false" ht="23.25" hidden="false" customHeight="true" outlineLevel="0" collapsed="false">
      <c r="A97" s="3" t="s">
        <v>120</v>
      </c>
      <c r="B97" s="3" t="s">
        <v>120</v>
      </c>
      <c r="C97" s="7" t="s">
        <v>37</v>
      </c>
      <c r="D97" s="3" t="s">
        <v>16</v>
      </c>
      <c r="E97" s="5" t="n">
        <v>7200</v>
      </c>
      <c r="F97" s="3" t="s">
        <v>16</v>
      </c>
      <c r="G97" s="5" t="s">
        <v>37</v>
      </c>
      <c r="H97" s="5" t="s">
        <v>37</v>
      </c>
      <c r="I97" s="3" t="s">
        <v>122</v>
      </c>
      <c r="J97" s="3" t="s">
        <v>125</v>
      </c>
      <c r="K97" s="3" t="s">
        <v>122</v>
      </c>
      <c r="L97" s="3" t="s">
        <v>123</v>
      </c>
      <c r="M97" s="3"/>
      <c r="N97" s="3" t="s">
        <v>126</v>
      </c>
    </row>
    <row r="98" customFormat="false" ht="23.25" hidden="false" customHeight="true" outlineLevel="0" collapsed="false">
      <c r="A98" s="3" t="s">
        <v>120</v>
      </c>
      <c r="B98" s="3" t="s">
        <v>120</v>
      </c>
      <c r="C98" s="7" t="s">
        <v>37</v>
      </c>
      <c r="D98" s="3" t="s">
        <v>21</v>
      </c>
      <c r="E98" s="5" t="n">
        <v>939.87</v>
      </c>
      <c r="F98" s="3" t="s">
        <v>21</v>
      </c>
      <c r="G98" s="5" t="s">
        <v>37</v>
      </c>
      <c r="H98" s="5" t="s">
        <v>37</v>
      </c>
      <c r="I98" s="3" t="s">
        <v>122</v>
      </c>
      <c r="J98" s="3" t="s">
        <v>125</v>
      </c>
      <c r="K98" s="3" t="s">
        <v>122</v>
      </c>
      <c r="L98" s="3" t="s">
        <v>123</v>
      </c>
      <c r="M98" s="3"/>
      <c r="N98" s="3" t="s">
        <v>126</v>
      </c>
    </row>
    <row r="99" customFormat="false" ht="23.25" hidden="false" customHeight="true" outlineLevel="0" collapsed="false">
      <c r="A99" s="3" t="s">
        <v>120</v>
      </c>
      <c r="B99" s="3" t="s">
        <v>120</v>
      </c>
      <c r="C99" s="7" t="s">
        <v>37</v>
      </c>
      <c r="D99" s="3" t="s">
        <v>24</v>
      </c>
      <c r="E99" s="5" t="n">
        <v>2184.88</v>
      </c>
      <c r="F99" s="3" t="s">
        <v>24</v>
      </c>
      <c r="G99" s="5" t="s">
        <v>37</v>
      </c>
      <c r="H99" s="5" t="s">
        <v>37</v>
      </c>
      <c r="I99" s="3" t="s">
        <v>122</v>
      </c>
      <c r="J99" s="3" t="s">
        <v>125</v>
      </c>
      <c r="K99" s="3" t="s">
        <v>122</v>
      </c>
      <c r="L99" s="3" t="s">
        <v>123</v>
      </c>
      <c r="M99" s="3"/>
      <c r="N99" s="3" t="s">
        <v>126</v>
      </c>
    </row>
    <row r="100" customFormat="false" ht="23.25" hidden="false" customHeight="true" outlineLevel="0" collapsed="false">
      <c r="A100" s="3" t="s">
        <v>120</v>
      </c>
      <c r="B100" s="3" t="s">
        <v>120</v>
      </c>
      <c r="C100" s="7" t="s">
        <v>37</v>
      </c>
      <c r="D100" s="3" t="s">
        <v>25</v>
      </c>
      <c r="E100" s="5" t="n">
        <v>75.29</v>
      </c>
      <c r="F100" s="3" t="s">
        <v>25</v>
      </c>
      <c r="G100" s="5" t="s">
        <v>37</v>
      </c>
      <c r="H100" s="5" t="s">
        <v>37</v>
      </c>
      <c r="I100" s="3" t="s">
        <v>122</v>
      </c>
      <c r="J100" s="3" t="s">
        <v>125</v>
      </c>
      <c r="K100" s="3" t="s">
        <v>122</v>
      </c>
      <c r="L100" s="3" t="s">
        <v>123</v>
      </c>
      <c r="M100" s="3"/>
      <c r="N100" s="3" t="s">
        <v>126</v>
      </c>
    </row>
    <row r="101" customFormat="false" ht="34.5" hidden="false" customHeight="true" outlineLevel="0" collapsed="false">
      <c r="A101" s="3" t="s">
        <v>120</v>
      </c>
      <c r="B101" s="3" t="s">
        <v>120</v>
      </c>
      <c r="C101" s="4" t="s">
        <v>15</v>
      </c>
      <c r="D101" s="3" t="s">
        <v>16</v>
      </c>
      <c r="E101" s="5" t="n">
        <v>3600</v>
      </c>
      <c r="F101" s="3" t="s">
        <v>16</v>
      </c>
      <c r="G101" s="5" t="n">
        <v>3600</v>
      </c>
      <c r="H101" s="5" t="n">
        <f aca="false">ROUND(ABS(G101)-ABS(E101),2)</f>
        <v>0</v>
      </c>
      <c r="I101" s="3" t="s">
        <v>127</v>
      </c>
      <c r="J101" s="3"/>
      <c r="K101" s="3"/>
      <c r="L101" s="3" t="s">
        <v>128</v>
      </c>
      <c r="M101" s="3" t="s">
        <v>129</v>
      </c>
      <c r="N101" s="3"/>
    </row>
    <row r="102" customFormat="false" ht="34.5" hidden="false" customHeight="true" outlineLevel="0" collapsed="false">
      <c r="A102" s="3" t="s">
        <v>120</v>
      </c>
      <c r="B102" s="3" t="s">
        <v>120</v>
      </c>
      <c r="C102" s="6" t="s">
        <v>28</v>
      </c>
      <c r="D102" s="3" t="s">
        <v>21</v>
      </c>
      <c r="E102" s="5" t="n">
        <v>957.65</v>
      </c>
      <c r="F102" s="3" t="s">
        <v>21</v>
      </c>
      <c r="G102" s="5" t="n">
        <v>1897.52</v>
      </c>
      <c r="H102" s="5" t="n">
        <f aca="false">ROUND(ABS(G102)-ABS(E102),2)</f>
        <v>939.87</v>
      </c>
      <c r="I102" s="3" t="s">
        <v>127</v>
      </c>
      <c r="J102" s="3"/>
      <c r="K102" s="3"/>
      <c r="L102" s="3" t="s">
        <v>128</v>
      </c>
      <c r="M102" s="3" t="s">
        <v>130</v>
      </c>
      <c r="N102" s="3"/>
    </row>
    <row r="103" customFormat="false" ht="34.5" hidden="false" customHeight="true" outlineLevel="0" collapsed="false">
      <c r="A103" s="3" t="s">
        <v>120</v>
      </c>
      <c r="B103" s="3" t="s">
        <v>120</v>
      </c>
      <c r="C103" s="6" t="s">
        <v>28</v>
      </c>
      <c r="D103" s="3" t="s">
        <v>24</v>
      </c>
      <c r="E103" s="5" t="n">
        <v>1620.97</v>
      </c>
      <c r="F103" s="3" t="s">
        <v>24</v>
      </c>
      <c r="G103" s="5" t="n">
        <v>3805.85</v>
      </c>
      <c r="H103" s="5" t="n">
        <f aca="false">ROUND(ABS(G103)-ABS(E103),2)</f>
        <v>2184.88</v>
      </c>
      <c r="I103" s="3" t="s">
        <v>127</v>
      </c>
      <c r="J103" s="3"/>
      <c r="K103" s="3"/>
      <c r="L103" s="3" t="s">
        <v>128</v>
      </c>
      <c r="M103" s="3" t="s">
        <v>131</v>
      </c>
      <c r="N103" s="3"/>
    </row>
    <row r="104" customFormat="false" ht="34.5" hidden="false" customHeight="true" outlineLevel="0" collapsed="false">
      <c r="A104" s="3" t="s">
        <v>120</v>
      </c>
      <c r="B104" s="3" t="s">
        <v>120</v>
      </c>
      <c r="C104" s="7" t="s">
        <v>37</v>
      </c>
      <c r="D104" s="3" t="s">
        <v>25</v>
      </c>
      <c r="E104" s="5" t="n">
        <v>76.69</v>
      </c>
      <c r="F104" s="3" t="s">
        <v>25</v>
      </c>
      <c r="G104" s="5" t="n">
        <v>196.94</v>
      </c>
      <c r="H104" s="5" t="n">
        <f aca="false">ROUND(ABS(G104)-ABS(E104),2)</f>
        <v>120.25</v>
      </c>
      <c r="I104" s="3" t="s">
        <v>127</v>
      </c>
      <c r="J104" s="3"/>
      <c r="K104" s="3"/>
      <c r="L104" s="3" t="s">
        <v>132</v>
      </c>
      <c r="M104" s="3" t="s">
        <v>133</v>
      </c>
      <c r="N104" s="3" t="s">
        <v>62</v>
      </c>
    </row>
    <row r="105" customFormat="false" ht="23.25" hidden="false" customHeight="true" outlineLevel="0" collapsed="false">
      <c r="A105" s="3" t="s">
        <v>120</v>
      </c>
      <c r="B105" s="3" t="s">
        <v>120</v>
      </c>
      <c r="C105" s="7" t="s">
        <v>37</v>
      </c>
      <c r="D105" s="3" t="s">
        <v>29</v>
      </c>
      <c r="E105" s="5" t="s">
        <v>37</v>
      </c>
      <c r="F105" s="3" t="s">
        <v>29</v>
      </c>
      <c r="G105" s="5" t="s">
        <v>37</v>
      </c>
      <c r="H105" s="5" t="s">
        <v>37</v>
      </c>
      <c r="I105" s="3" t="s">
        <v>127</v>
      </c>
      <c r="J105" s="3" t="s">
        <v>38</v>
      </c>
      <c r="K105" s="3"/>
      <c r="L105" s="3" t="s">
        <v>39</v>
      </c>
      <c r="M105" s="3"/>
      <c r="N105" s="3" t="s">
        <v>40</v>
      </c>
    </row>
    <row r="106" customFormat="false" ht="15" hidden="false" customHeight="true" outlineLevel="0" collapsed="false">
      <c r="A106" s="3" t="s">
        <v>120</v>
      </c>
      <c r="B106" s="3" t="s">
        <v>120</v>
      </c>
      <c r="C106" s="7" t="s">
        <v>37</v>
      </c>
      <c r="D106" s="3" t="s">
        <v>25</v>
      </c>
      <c r="E106" s="5" t="n">
        <v>44.96</v>
      </c>
      <c r="F106" s="3" t="s">
        <v>25</v>
      </c>
      <c r="G106" s="5" t="s">
        <v>37</v>
      </c>
      <c r="H106" s="5" t="s">
        <v>37</v>
      </c>
      <c r="I106" s="3" t="s">
        <v>70</v>
      </c>
      <c r="J106" s="3" t="s">
        <v>71</v>
      </c>
      <c r="K106" s="3"/>
      <c r="L106" s="3" t="s">
        <v>72</v>
      </c>
      <c r="M106" s="3"/>
      <c r="N106" s="3" t="s">
        <v>73</v>
      </c>
    </row>
    <row r="107" customFormat="false" ht="75.75" hidden="false" customHeight="true" outlineLevel="0" collapsed="false">
      <c r="A107" s="8" t="s">
        <v>120</v>
      </c>
      <c r="B107" s="8" t="s">
        <v>120</v>
      </c>
      <c r="C107" s="8" t="s">
        <v>28</v>
      </c>
      <c r="D107" s="8" t="s">
        <v>47</v>
      </c>
      <c r="E107" s="8" t="s">
        <v>134</v>
      </c>
      <c r="F107" s="8" t="s">
        <v>47</v>
      </c>
      <c r="G107" s="8" t="s">
        <v>121</v>
      </c>
      <c r="H107" s="8"/>
      <c r="I107" s="8" t="s">
        <v>49</v>
      </c>
      <c r="J107" s="8" t="s">
        <v>121</v>
      </c>
      <c r="K107" s="8" t="s">
        <v>122</v>
      </c>
      <c r="L107" s="8" t="s">
        <v>123</v>
      </c>
      <c r="M107" s="8" t="s">
        <v>124</v>
      </c>
      <c r="N107" s="8" t="s">
        <v>50</v>
      </c>
    </row>
    <row r="108" customFormat="false" ht="23.25" hidden="false" customHeight="true" outlineLevel="0" collapsed="false">
      <c r="A108" s="3" t="s">
        <v>135</v>
      </c>
      <c r="B108" s="3" t="s">
        <v>135</v>
      </c>
      <c r="C108" s="4" t="s">
        <v>15</v>
      </c>
      <c r="D108" s="3" t="s">
        <v>16</v>
      </c>
      <c r="E108" s="5" t="n">
        <v>7800</v>
      </c>
      <c r="F108" s="3" t="s">
        <v>16</v>
      </c>
      <c r="G108" s="5" t="n">
        <v>7800</v>
      </c>
      <c r="H108" s="5" t="n">
        <f aca="false">ROUND(ABS(G108)-ABS(E108),2)</f>
        <v>0</v>
      </c>
      <c r="I108" s="3" t="s">
        <v>17</v>
      </c>
      <c r="J108" s="3" t="s">
        <v>18</v>
      </c>
      <c r="K108" s="3"/>
      <c r="L108" s="3" t="s">
        <v>136</v>
      </c>
      <c r="M108" s="3" t="s">
        <v>137</v>
      </c>
      <c r="N108" s="3"/>
    </row>
    <row r="109" customFormat="false" ht="23.25" hidden="false" customHeight="true" outlineLevel="0" collapsed="false">
      <c r="A109" s="3" t="s">
        <v>135</v>
      </c>
      <c r="B109" s="3" t="s">
        <v>135</v>
      </c>
      <c r="C109" s="4" t="s">
        <v>15</v>
      </c>
      <c r="D109" s="3" t="s">
        <v>21</v>
      </c>
      <c r="E109" s="5" t="n">
        <v>1051.95</v>
      </c>
      <c r="F109" s="3" t="s">
        <v>21</v>
      </c>
      <c r="G109" s="5" t="n">
        <v>1051.95</v>
      </c>
      <c r="H109" s="5" t="n">
        <f aca="false">ROUND(ABS(G109)-ABS(E109),2)</f>
        <v>0</v>
      </c>
      <c r="I109" s="3" t="s">
        <v>17</v>
      </c>
      <c r="J109" s="3" t="s">
        <v>18</v>
      </c>
      <c r="K109" s="3"/>
      <c r="L109" s="3" t="s">
        <v>136</v>
      </c>
      <c r="M109" s="3" t="s">
        <v>137</v>
      </c>
      <c r="N109" s="3"/>
    </row>
    <row r="110" customFormat="false" ht="23.25" hidden="false" customHeight="true" outlineLevel="0" collapsed="false">
      <c r="A110" s="3" t="s">
        <v>135</v>
      </c>
      <c r="B110" s="3" t="s">
        <v>135</v>
      </c>
      <c r="C110" s="4" t="s">
        <v>15</v>
      </c>
      <c r="D110" s="3" t="s">
        <v>22</v>
      </c>
      <c r="E110" s="5" t="n">
        <v>115.47</v>
      </c>
      <c r="F110" s="3" t="s">
        <v>22</v>
      </c>
      <c r="G110" s="5" t="n">
        <v>115.47</v>
      </c>
      <c r="H110" s="5" t="n">
        <f aca="false">ROUND(ABS(G110)-ABS(E110),2)</f>
        <v>0</v>
      </c>
      <c r="I110" s="3" t="s">
        <v>17</v>
      </c>
      <c r="J110" s="3" t="s">
        <v>18</v>
      </c>
      <c r="K110" s="3"/>
      <c r="L110" s="3" t="s">
        <v>136</v>
      </c>
      <c r="M110" s="3" t="s">
        <v>137</v>
      </c>
      <c r="N110" s="3" t="s">
        <v>23</v>
      </c>
    </row>
    <row r="111" customFormat="false" ht="23.25" hidden="false" customHeight="true" outlineLevel="0" collapsed="false">
      <c r="A111" s="3" t="s">
        <v>135</v>
      </c>
      <c r="B111" s="3" t="s">
        <v>135</v>
      </c>
      <c r="C111" s="4" t="s">
        <v>15</v>
      </c>
      <c r="D111" s="3" t="s">
        <v>24</v>
      </c>
      <c r="E111" s="5" t="n">
        <v>2519.78</v>
      </c>
      <c r="F111" s="3" t="s">
        <v>24</v>
      </c>
      <c r="G111" s="5" t="n">
        <v>2519.78</v>
      </c>
      <c r="H111" s="5" t="n">
        <f aca="false">ROUND(ABS(G111)-ABS(E111),2)</f>
        <v>0</v>
      </c>
      <c r="I111" s="3" t="s">
        <v>17</v>
      </c>
      <c r="J111" s="3" t="s">
        <v>18</v>
      </c>
      <c r="K111" s="3"/>
      <c r="L111" s="3" t="s">
        <v>136</v>
      </c>
      <c r="M111" s="3" t="s">
        <v>137</v>
      </c>
      <c r="N111" s="3"/>
    </row>
    <row r="112" customFormat="false" ht="23.25" hidden="false" customHeight="true" outlineLevel="0" collapsed="false">
      <c r="A112" s="3" t="s">
        <v>135</v>
      </c>
      <c r="B112" s="3" t="s">
        <v>135</v>
      </c>
      <c r="C112" s="4" t="s">
        <v>15</v>
      </c>
      <c r="D112" s="3" t="s">
        <v>25</v>
      </c>
      <c r="E112" s="5" t="n">
        <v>1256.36</v>
      </c>
      <c r="F112" s="3" t="s">
        <v>25</v>
      </c>
      <c r="G112" s="5" t="n">
        <v>1256.36</v>
      </c>
      <c r="H112" s="5" t="n">
        <f aca="false">ROUND(ABS(G112)-ABS(E112),2)</f>
        <v>0</v>
      </c>
      <c r="I112" s="3" t="s">
        <v>17</v>
      </c>
      <c r="J112" s="3" t="s">
        <v>18</v>
      </c>
      <c r="K112" s="3"/>
      <c r="L112" s="3" t="s">
        <v>136</v>
      </c>
      <c r="M112" s="3" t="s">
        <v>137</v>
      </c>
      <c r="N112" s="3"/>
    </row>
    <row r="113" customFormat="false" ht="23.25" hidden="false" customHeight="true" outlineLevel="0" collapsed="false">
      <c r="A113" s="3" t="s">
        <v>135</v>
      </c>
      <c r="B113" s="3" t="s">
        <v>135</v>
      </c>
      <c r="C113" s="4" t="s">
        <v>15</v>
      </c>
      <c r="D113" s="3" t="s">
        <v>26</v>
      </c>
      <c r="E113" s="5" t="n">
        <v>0</v>
      </c>
      <c r="F113" s="3" t="s">
        <v>26</v>
      </c>
      <c r="G113" s="5" t="n">
        <v>0</v>
      </c>
      <c r="H113" s="5" t="n">
        <f aca="false">ROUND(ABS(G113)-ABS(E113),2)</f>
        <v>0</v>
      </c>
      <c r="I113" s="3" t="s">
        <v>17</v>
      </c>
      <c r="J113" s="3" t="s">
        <v>18</v>
      </c>
      <c r="K113" s="3"/>
      <c r="L113" s="3" t="s">
        <v>136</v>
      </c>
      <c r="M113" s="3" t="s">
        <v>137</v>
      </c>
      <c r="N113" s="3" t="s">
        <v>27</v>
      </c>
    </row>
    <row r="114" customFormat="false" ht="23.25" hidden="false" customHeight="true" outlineLevel="0" collapsed="false">
      <c r="A114" s="3" t="s">
        <v>135</v>
      </c>
      <c r="B114" s="3" t="s">
        <v>135</v>
      </c>
      <c r="C114" s="6" t="s">
        <v>28</v>
      </c>
      <c r="D114" s="3" t="s">
        <v>29</v>
      </c>
      <c r="E114" s="5" t="n">
        <v>2914.91</v>
      </c>
      <c r="F114" s="3" t="s">
        <v>29</v>
      </c>
      <c r="G114" s="5" t="n">
        <v>-2284.68</v>
      </c>
      <c r="H114" s="5" t="n">
        <f aca="false">ROUND(ABS(G114)-ABS(E114),2)</f>
        <v>-630.23</v>
      </c>
      <c r="I114" s="3" t="s">
        <v>17</v>
      </c>
      <c r="J114" s="3" t="s">
        <v>18</v>
      </c>
      <c r="K114" s="3"/>
      <c r="L114" s="3" t="s">
        <v>136</v>
      </c>
      <c r="M114" s="3" t="s">
        <v>137</v>
      </c>
      <c r="N114" s="3" t="s">
        <v>30</v>
      </c>
    </row>
    <row r="115" customFormat="false" ht="34.5" hidden="false" customHeight="true" outlineLevel="0" collapsed="false">
      <c r="A115" s="3" t="s">
        <v>135</v>
      </c>
      <c r="B115" s="3" t="s">
        <v>135</v>
      </c>
      <c r="C115" s="4" t="s">
        <v>15</v>
      </c>
      <c r="D115" s="3" t="s">
        <v>16</v>
      </c>
      <c r="E115" s="5" t="n">
        <v>3800</v>
      </c>
      <c r="F115" s="3" t="s">
        <v>16</v>
      </c>
      <c r="G115" s="5" t="n">
        <v>3800</v>
      </c>
      <c r="H115" s="5" t="n">
        <f aca="false">ROUND(ABS(G115)-ABS(E115),2)</f>
        <v>0</v>
      </c>
      <c r="I115" s="3" t="s">
        <v>138</v>
      </c>
      <c r="J115" s="3"/>
      <c r="K115" s="3"/>
      <c r="L115" s="3" t="s">
        <v>139</v>
      </c>
      <c r="M115" s="3" t="s">
        <v>140</v>
      </c>
      <c r="N115" s="3"/>
    </row>
    <row r="116" customFormat="false" ht="34.5" hidden="false" customHeight="true" outlineLevel="0" collapsed="false">
      <c r="A116" s="3" t="s">
        <v>135</v>
      </c>
      <c r="B116" s="3" t="s">
        <v>135</v>
      </c>
      <c r="C116" s="4" t="s">
        <v>15</v>
      </c>
      <c r="D116" s="3" t="s">
        <v>21</v>
      </c>
      <c r="E116" s="5" t="n">
        <v>471.97</v>
      </c>
      <c r="F116" s="3" t="s">
        <v>21</v>
      </c>
      <c r="G116" s="5" t="n">
        <v>471.97</v>
      </c>
      <c r="H116" s="5" t="n">
        <f aca="false">ROUND(ABS(G116)-ABS(E116),2)</f>
        <v>0</v>
      </c>
      <c r="I116" s="3" t="s">
        <v>138</v>
      </c>
      <c r="J116" s="3"/>
      <c r="K116" s="3"/>
      <c r="L116" s="3" t="s">
        <v>139</v>
      </c>
      <c r="M116" s="3" t="s">
        <v>141</v>
      </c>
      <c r="N116" s="3"/>
    </row>
    <row r="117" customFormat="false" ht="34.5" hidden="false" customHeight="true" outlineLevel="0" collapsed="false">
      <c r="A117" s="3" t="s">
        <v>135</v>
      </c>
      <c r="B117" s="3" t="s">
        <v>135</v>
      </c>
      <c r="C117" s="4" t="s">
        <v>15</v>
      </c>
      <c r="D117" s="3" t="s">
        <v>22</v>
      </c>
      <c r="E117" s="5" t="n">
        <v>45.47</v>
      </c>
      <c r="F117" s="3" t="s">
        <v>22</v>
      </c>
      <c r="G117" s="5" t="n">
        <v>45.47</v>
      </c>
      <c r="H117" s="5" t="n">
        <f aca="false">ROUND(ABS(G117)-ABS(E117),2)</f>
        <v>0</v>
      </c>
      <c r="I117" s="3" t="s">
        <v>138</v>
      </c>
      <c r="J117" s="3"/>
      <c r="K117" s="3"/>
      <c r="L117" s="3" t="s">
        <v>142</v>
      </c>
      <c r="M117" s="3" t="s">
        <v>143</v>
      </c>
      <c r="N117" s="3"/>
    </row>
    <row r="118" customFormat="false" ht="34.5" hidden="false" customHeight="true" outlineLevel="0" collapsed="false">
      <c r="A118" s="3" t="s">
        <v>135</v>
      </c>
      <c r="B118" s="3" t="s">
        <v>135</v>
      </c>
      <c r="C118" s="4" t="s">
        <v>15</v>
      </c>
      <c r="D118" s="3" t="s">
        <v>24</v>
      </c>
      <c r="E118" s="5" t="n">
        <v>1556.91</v>
      </c>
      <c r="F118" s="3" t="s">
        <v>24</v>
      </c>
      <c r="G118" s="5" t="n">
        <v>1556.91</v>
      </c>
      <c r="H118" s="5" t="n">
        <f aca="false">ROUND(ABS(G118)-ABS(E118),2)</f>
        <v>0</v>
      </c>
      <c r="I118" s="3" t="s">
        <v>138</v>
      </c>
      <c r="J118" s="3"/>
      <c r="K118" s="3"/>
      <c r="L118" s="3" t="s">
        <v>139</v>
      </c>
      <c r="M118" s="3" t="s">
        <v>144</v>
      </c>
      <c r="N118" s="3"/>
    </row>
    <row r="119" customFormat="false" ht="45.75" hidden="false" customHeight="true" outlineLevel="0" collapsed="false">
      <c r="A119" s="3" t="s">
        <v>135</v>
      </c>
      <c r="B119" s="3" t="s">
        <v>135</v>
      </c>
      <c r="C119" s="7" t="s">
        <v>37</v>
      </c>
      <c r="D119" s="3" t="s">
        <v>25</v>
      </c>
      <c r="E119" s="5" t="n">
        <v>37.39</v>
      </c>
      <c r="F119" s="3" t="s">
        <v>25</v>
      </c>
      <c r="G119" s="5" t="n">
        <v>1256.36</v>
      </c>
      <c r="H119" s="5" t="n">
        <f aca="false">ROUND(ABS(G119)-ABS(E119),2)</f>
        <v>1218.97</v>
      </c>
      <c r="I119" s="3" t="s">
        <v>138</v>
      </c>
      <c r="J119" s="3"/>
      <c r="K119" s="3"/>
      <c r="L119" s="3" t="s">
        <v>145</v>
      </c>
      <c r="M119" s="3" t="s">
        <v>146</v>
      </c>
      <c r="N119" s="3" t="s">
        <v>62</v>
      </c>
    </row>
    <row r="120" customFormat="false" ht="23.25" hidden="false" customHeight="true" outlineLevel="0" collapsed="false">
      <c r="A120" s="3" t="s">
        <v>135</v>
      </c>
      <c r="B120" s="3" t="s">
        <v>135</v>
      </c>
      <c r="C120" s="7" t="s">
        <v>37</v>
      </c>
      <c r="D120" s="3" t="s">
        <v>29</v>
      </c>
      <c r="E120" s="5" t="s">
        <v>37</v>
      </c>
      <c r="F120" s="3" t="s">
        <v>29</v>
      </c>
      <c r="G120" s="5" t="s">
        <v>37</v>
      </c>
      <c r="H120" s="5" t="s">
        <v>37</v>
      </c>
      <c r="I120" s="3" t="s">
        <v>138</v>
      </c>
      <c r="J120" s="3" t="s">
        <v>38</v>
      </c>
      <c r="K120" s="3"/>
      <c r="L120" s="3" t="s">
        <v>39</v>
      </c>
      <c r="M120" s="3"/>
      <c r="N120" s="3" t="s">
        <v>40</v>
      </c>
    </row>
    <row r="121" customFormat="false" ht="34.5" hidden="false" customHeight="true" outlineLevel="0" collapsed="false">
      <c r="A121" s="3" t="s">
        <v>135</v>
      </c>
      <c r="B121" s="3" t="s">
        <v>135</v>
      </c>
      <c r="C121" s="4" t="s">
        <v>15</v>
      </c>
      <c r="D121" s="3" t="s">
        <v>16</v>
      </c>
      <c r="E121" s="5" t="n">
        <v>4000</v>
      </c>
      <c r="F121" s="3" t="s">
        <v>16</v>
      </c>
      <c r="G121" s="5" t="n">
        <v>4000</v>
      </c>
      <c r="H121" s="5" t="n">
        <f aca="false">ROUND(ABS(G121)-ABS(E121),2)</f>
        <v>0</v>
      </c>
      <c r="I121" s="3" t="s">
        <v>147</v>
      </c>
      <c r="J121" s="3"/>
      <c r="K121" s="3"/>
      <c r="L121" s="3" t="s">
        <v>139</v>
      </c>
      <c r="M121" s="3" t="s">
        <v>148</v>
      </c>
      <c r="N121" s="3"/>
    </row>
    <row r="122" customFormat="false" ht="34.5" hidden="false" customHeight="true" outlineLevel="0" collapsed="false">
      <c r="A122" s="3" t="s">
        <v>135</v>
      </c>
      <c r="B122" s="3" t="s">
        <v>135</v>
      </c>
      <c r="C122" s="4" t="s">
        <v>15</v>
      </c>
      <c r="D122" s="3" t="s">
        <v>21</v>
      </c>
      <c r="E122" s="5" t="n">
        <v>579.98</v>
      </c>
      <c r="F122" s="3" t="s">
        <v>21</v>
      </c>
      <c r="G122" s="5" t="n">
        <v>579.98</v>
      </c>
      <c r="H122" s="5" t="n">
        <f aca="false">ROUND(ABS(G122)-ABS(E122),2)</f>
        <v>0</v>
      </c>
      <c r="I122" s="3" t="s">
        <v>147</v>
      </c>
      <c r="J122" s="3"/>
      <c r="K122" s="3"/>
      <c r="L122" s="3" t="s">
        <v>139</v>
      </c>
      <c r="M122" s="3" t="s">
        <v>149</v>
      </c>
      <c r="N122" s="3"/>
    </row>
    <row r="123" customFormat="false" ht="34.5" hidden="false" customHeight="true" outlineLevel="0" collapsed="false">
      <c r="A123" s="3" t="s">
        <v>135</v>
      </c>
      <c r="B123" s="3" t="s">
        <v>135</v>
      </c>
      <c r="C123" s="4" t="s">
        <v>15</v>
      </c>
      <c r="D123" s="3" t="s">
        <v>22</v>
      </c>
      <c r="E123" s="5" t="n">
        <v>70</v>
      </c>
      <c r="F123" s="3" t="s">
        <v>22</v>
      </c>
      <c r="G123" s="5" t="n">
        <v>70</v>
      </c>
      <c r="H123" s="5" t="n">
        <f aca="false">ROUND(ABS(G123)-ABS(E123),2)</f>
        <v>0</v>
      </c>
      <c r="I123" s="3" t="s">
        <v>147</v>
      </c>
      <c r="J123" s="3"/>
      <c r="K123" s="3"/>
      <c r="L123" s="3" t="s">
        <v>142</v>
      </c>
      <c r="M123" s="3" t="s">
        <v>150</v>
      </c>
      <c r="N123" s="3"/>
    </row>
    <row r="124" customFormat="false" ht="34.5" hidden="false" customHeight="true" outlineLevel="0" collapsed="false">
      <c r="A124" s="3" t="s">
        <v>135</v>
      </c>
      <c r="B124" s="3" t="s">
        <v>135</v>
      </c>
      <c r="C124" s="4" t="s">
        <v>15</v>
      </c>
      <c r="D124" s="3" t="s">
        <v>24</v>
      </c>
      <c r="E124" s="5" t="n">
        <v>962.87</v>
      </c>
      <c r="F124" s="3" t="s">
        <v>24</v>
      </c>
      <c r="G124" s="5" t="n">
        <v>962.87</v>
      </c>
      <c r="H124" s="5" t="n">
        <f aca="false">ROUND(ABS(G124)-ABS(E124),2)</f>
        <v>0</v>
      </c>
      <c r="I124" s="3" t="s">
        <v>147</v>
      </c>
      <c r="J124" s="3"/>
      <c r="K124" s="3"/>
      <c r="L124" s="3" t="s">
        <v>139</v>
      </c>
      <c r="M124" s="3" t="s">
        <v>151</v>
      </c>
      <c r="N124" s="3"/>
    </row>
    <row r="125" customFormat="false" ht="34.5" hidden="false" customHeight="true" outlineLevel="0" collapsed="false">
      <c r="A125" s="3" t="s">
        <v>135</v>
      </c>
      <c r="B125" s="3" t="s">
        <v>135</v>
      </c>
      <c r="C125" s="6" t="s">
        <v>28</v>
      </c>
      <c r="D125" s="3" t="s">
        <v>25</v>
      </c>
      <c r="E125" s="5" t="n">
        <v>18.7</v>
      </c>
      <c r="F125" s="3" t="s">
        <v>25</v>
      </c>
      <c r="G125" s="5" t="n">
        <v>0</v>
      </c>
      <c r="H125" s="5" t="n">
        <f aca="false">ROUND(ABS(G125)-ABS(E125),2)</f>
        <v>-18.7</v>
      </c>
      <c r="I125" s="3" t="s">
        <v>147</v>
      </c>
      <c r="J125" s="3" t="s">
        <v>45</v>
      </c>
      <c r="K125" s="3"/>
      <c r="L125" s="3" t="s">
        <v>145</v>
      </c>
      <c r="M125" s="3"/>
      <c r="N125" s="3" t="s">
        <v>62</v>
      </c>
    </row>
    <row r="126" customFormat="false" ht="23.25" hidden="false" customHeight="true" outlineLevel="0" collapsed="false">
      <c r="A126" s="3" t="s">
        <v>135</v>
      </c>
      <c r="B126" s="3" t="s">
        <v>135</v>
      </c>
      <c r="C126" s="7" t="s">
        <v>37</v>
      </c>
      <c r="D126" s="3" t="s">
        <v>29</v>
      </c>
      <c r="E126" s="5" t="s">
        <v>37</v>
      </c>
      <c r="F126" s="3" t="s">
        <v>29</v>
      </c>
      <c r="G126" s="5" t="s">
        <v>37</v>
      </c>
      <c r="H126" s="5" t="s">
        <v>37</v>
      </c>
      <c r="I126" s="3" t="s">
        <v>147</v>
      </c>
      <c r="J126" s="3" t="s">
        <v>38</v>
      </c>
      <c r="K126" s="3"/>
      <c r="L126" s="3" t="s">
        <v>39</v>
      </c>
      <c r="M126" s="3"/>
      <c r="N126" s="3" t="s">
        <v>40</v>
      </c>
    </row>
    <row r="127" customFormat="false" ht="15" hidden="false" customHeight="true" outlineLevel="0" collapsed="false">
      <c r="A127" s="3" t="s">
        <v>135</v>
      </c>
      <c r="B127" s="3" t="s">
        <v>135</v>
      </c>
      <c r="C127" s="7" t="s">
        <v>37</v>
      </c>
      <c r="D127" s="3" t="s">
        <v>25</v>
      </c>
      <c r="E127" s="5" t="n">
        <v>1200.27</v>
      </c>
      <c r="F127" s="3" t="s">
        <v>25</v>
      </c>
      <c r="G127" s="5" t="s">
        <v>37</v>
      </c>
      <c r="H127" s="5" t="s">
        <v>37</v>
      </c>
      <c r="I127" s="3" t="s">
        <v>70</v>
      </c>
      <c r="J127" s="3" t="s">
        <v>71</v>
      </c>
      <c r="K127" s="3"/>
      <c r="L127" s="3" t="s">
        <v>72</v>
      </c>
      <c r="M127" s="3"/>
      <c r="N127" s="3" t="s">
        <v>73</v>
      </c>
    </row>
    <row r="128" customFormat="false" ht="75.75" hidden="false" customHeight="true" outlineLevel="0" collapsed="false">
      <c r="A128" s="8" t="s">
        <v>135</v>
      </c>
      <c r="B128" s="8" t="s">
        <v>135</v>
      </c>
      <c r="C128" s="8" t="s">
        <v>28</v>
      </c>
      <c r="D128" s="8" t="s">
        <v>47</v>
      </c>
      <c r="E128" s="8" t="s">
        <v>152</v>
      </c>
      <c r="F128" s="8" t="s">
        <v>47</v>
      </c>
      <c r="G128" s="8" t="s">
        <v>18</v>
      </c>
      <c r="H128" s="8"/>
      <c r="I128" s="8" t="s">
        <v>49</v>
      </c>
      <c r="J128" s="8" t="s">
        <v>18</v>
      </c>
      <c r="K128" s="8"/>
      <c r="L128" s="8" t="s">
        <v>136</v>
      </c>
      <c r="M128" s="8" t="s">
        <v>137</v>
      </c>
      <c r="N128" s="8" t="s">
        <v>50</v>
      </c>
    </row>
    <row r="129" customFormat="false" ht="23.25" hidden="false" customHeight="true" outlineLevel="0" collapsed="false">
      <c r="A129" s="3" t="s">
        <v>153</v>
      </c>
      <c r="B129" s="3" t="s">
        <v>153</v>
      </c>
      <c r="C129" s="4" t="s">
        <v>15</v>
      </c>
      <c r="D129" s="3" t="s">
        <v>16</v>
      </c>
      <c r="E129" s="5" t="n">
        <v>7300</v>
      </c>
      <c r="F129" s="3" t="s">
        <v>16</v>
      </c>
      <c r="G129" s="5" t="n">
        <v>7300</v>
      </c>
      <c r="H129" s="5" t="n">
        <f aca="false">ROUND(ABS(G129)-ABS(E129),2)</f>
        <v>0</v>
      </c>
      <c r="I129" s="3" t="s">
        <v>17</v>
      </c>
      <c r="J129" s="3" t="s">
        <v>18</v>
      </c>
      <c r="K129" s="3"/>
      <c r="L129" s="3" t="s">
        <v>154</v>
      </c>
      <c r="M129" s="3" t="s">
        <v>155</v>
      </c>
      <c r="N129" s="3"/>
    </row>
    <row r="130" customFormat="false" ht="23.25" hidden="false" customHeight="true" outlineLevel="0" collapsed="false">
      <c r="A130" s="3" t="s">
        <v>153</v>
      </c>
      <c r="B130" s="3" t="s">
        <v>153</v>
      </c>
      <c r="C130" s="4" t="s">
        <v>15</v>
      </c>
      <c r="D130" s="3" t="s">
        <v>21</v>
      </c>
      <c r="E130" s="5" t="n">
        <v>1304.15</v>
      </c>
      <c r="F130" s="3" t="s">
        <v>21</v>
      </c>
      <c r="G130" s="5" t="n">
        <v>1304.15</v>
      </c>
      <c r="H130" s="5" t="n">
        <f aca="false">ROUND(ABS(G130)-ABS(E130),2)</f>
        <v>0</v>
      </c>
      <c r="I130" s="3" t="s">
        <v>17</v>
      </c>
      <c r="J130" s="3" t="s">
        <v>18</v>
      </c>
      <c r="K130" s="3"/>
      <c r="L130" s="3" t="s">
        <v>154</v>
      </c>
      <c r="M130" s="3" t="s">
        <v>155</v>
      </c>
      <c r="N130" s="3"/>
    </row>
    <row r="131" customFormat="false" ht="23.25" hidden="false" customHeight="true" outlineLevel="0" collapsed="false">
      <c r="A131" s="3" t="s">
        <v>153</v>
      </c>
      <c r="B131" s="3" t="s">
        <v>153</v>
      </c>
      <c r="C131" s="4" t="s">
        <v>15</v>
      </c>
      <c r="D131" s="3" t="s">
        <v>22</v>
      </c>
      <c r="E131" s="5" t="n">
        <v>115.25</v>
      </c>
      <c r="F131" s="3" t="s">
        <v>22</v>
      </c>
      <c r="G131" s="5" t="n">
        <v>115.25</v>
      </c>
      <c r="H131" s="5" t="n">
        <f aca="false">ROUND(ABS(G131)-ABS(E131),2)</f>
        <v>0</v>
      </c>
      <c r="I131" s="3" t="s">
        <v>17</v>
      </c>
      <c r="J131" s="3" t="s">
        <v>18</v>
      </c>
      <c r="K131" s="3"/>
      <c r="L131" s="3" t="s">
        <v>154</v>
      </c>
      <c r="M131" s="3" t="s">
        <v>155</v>
      </c>
      <c r="N131" s="3" t="s">
        <v>23</v>
      </c>
    </row>
    <row r="132" customFormat="false" ht="23.25" hidden="false" customHeight="true" outlineLevel="0" collapsed="false">
      <c r="A132" s="3" t="s">
        <v>153</v>
      </c>
      <c r="B132" s="3" t="s">
        <v>153</v>
      </c>
      <c r="C132" s="4" t="s">
        <v>15</v>
      </c>
      <c r="D132" s="3" t="s">
        <v>24</v>
      </c>
      <c r="E132" s="5" t="n">
        <v>3207.4</v>
      </c>
      <c r="F132" s="3" t="s">
        <v>24</v>
      </c>
      <c r="G132" s="5" t="n">
        <v>3207.4</v>
      </c>
      <c r="H132" s="5" t="n">
        <f aca="false">ROUND(ABS(G132)-ABS(E132),2)</f>
        <v>0</v>
      </c>
      <c r="I132" s="3" t="s">
        <v>17</v>
      </c>
      <c r="J132" s="3" t="s">
        <v>18</v>
      </c>
      <c r="K132" s="3"/>
      <c r="L132" s="3" t="s">
        <v>154</v>
      </c>
      <c r="M132" s="3" t="s">
        <v>155</v>
      </c>
      <c r="N132" s="3"/>
    </row>
    <row r="133" customFormat="false" ht="23.25" hidden="false" customHeight="true" outlineLevel="0" collapsed="false">
      <c r="A133" s="3" t="s">
        <v>153</v>
      </c>
      <c r="B133" s="3" t="s">
        <v>153</v>
      </c>
      <c r="C133" s="4" t="s">
        <v>15</v>
      </c>
      <c r="D133" s="3" t="s">
        <v>25</v>
      </c>
      <c r="E133" s="5" t="n">
        <v>182.69</v>
      </c>
      <c r="F133" s="3" t="s">
        <v>25</v>
      </c>
      <c r="G133" s="5" t="n">
        <v>182.69</v>
      </c>
      <c r="H133" s="5" t="n">
        <f aca="false">ROUND(ABS(G133)-ABS(E133),2)</f>
        <v>0</v>
      </c>
      <c r="I133" s="3" t="s">
        <v>17</v>
      </c>
      <c r="J133" s="3" t="s">
        <v>18</v>
      </c>
      <c r="K133" s="3"/>
      <c r="L133" s="3" t="s">
        <v>154</v>
      </c>
      <c r="M133" s="3" t="s">
        <v>155</v>
      </c>
      <c r="N133" s="3"/>
    </row>
    <row r="134" customFormat="false" ht="23.25" hidden="false" customHeight="true" outlineLevel="0" collapsed="false">
      <c r="A134" s="3" t="s">
        <v>153</v>
      </c>
      <c r="B134" s="3" t="s">
        <v>153</v>
      </c>
      <c r="C134" s="4" t="s">
        <v>15</v>
      </c>
      <c r="D134" s="3" t="s">
        <v>26</v>
      </c>
      <c r="E134" s="5" t="n">
        <v>0</v>
      </c>
      <c r="F134" s="3" t="s">
        <v>26</v>
      </c>
      <c r="G134" s="5" t="n">
        <v>0</v>
      </c>
      <c r="H134" s="5" t="n">
        <f aca="false">ROUND(ABS(G134)-ABS(E134),2)</f>
        <v>0</v>
      </c>
      <c r="I134" s="3" t="s">
        <v>17</v>
      </c>
      <c r="J134" s="3" t="s">
        <v>18</v>
      </c>
      <c r="K134" s="3"/>
      <c r="L134" s="3" t="s">
        <v>154</v>
      </c>
      <c r="M134" s="3" t="s">
        <v>155</v>
      </c>
      <c r="N134" s="3" t="s">
        <v>27</v>
      </c>
    </row>
    <row r="135" customFormat="false" ht="23.25" hidden="false" customHeight="true" outlineLevel="0" collapsed="false">
      <c r="A135" s="3" t="s">
        <v>153</v>
      </c>
      <c r="B135" s="3" t="s">
        <v>153</v>
      </c>
      <c r="C135" s="6" t="s">
        <v>28</v>
      </c>
      <c r="D135" s="3" t="s">
        <v>29</v>
      </c>
      <c r="E135" s="5" t="n">
        <v>2345.26</v>
      </c>
      <c r="F135" s="3" t="s">
        <v>29</v>
      </c>
      <c r="G135" s="5" t="n">
        <v>-1954.65</v>
      </c>
      <c r="H135" s="5" t="n">
        <f aca="false">ROUND(ABS(G135)-ABS(E135),2)</f>
        <v>-390.61</v>
      </c>
      <c r="I135" s="3" t="s">
        <v>17</v>
      </c>
      <c r="J135" s="3" t="s">
        <v>18</v>
      </c>
      <c r="K135" s="3"/>
      <c r="L135" s="3" t="s">
        <v>154</v>
      </c>
      <c r="M135" s="3" t="s">
        <v>155</v>
      </c>
      <c r="N135" s="3" t="s">
        <v>30</v>
      </c>
    </row>
    <row r="136" customFormat="false" ht="34.5" hidden="false" customHeight="true" outlineLevel="0" collapsed="false">
      <c r="A136" s="3" t="s">
        <v>153</v>
      </c>
      <c r="B136" s="3" t="s">
        <v>153</v>
      </c>
      <c r="C136" s="4" t="s">
        <v>15</v>
      </c>
      <c r="D136" s="3" t="s">
        <v>16</v>
      </c>
      <c r="E136" s="5" t="n">
        <v>3900</v>
      </c>
      <c r="F136" s="3" t="s">
        <v>16</v>
      </c>
      <c r="G136" s="5" t="n">
        <v>3900</v>
      </c>
      <c r="H136" s="5" t="n">
        <f aca="false">ROUND(ABS(G136)-ABS(E136),2)</f>
        <v>0</v>
      </c>
      <c r="I136" s="3" t="s">
        <v>156</v>
      </c>
      <c r="J136" s="3"/>
      <c r="K136" s="3"/>
      <c r="L136" s="3" t="s">
        <v>157</v>
      </c>
      <c r="M136" s="3" t="s">
        <v>158</v>
      </c>
      <c r="N136" s="3"/>
    </row>
    <row r="137" customFormat="false" ht="34.5" hidden="false" customHeight="true" outlineLevel="0" collapsed="false">
      <c r="A137" s="3" t="s">
        <v>153</v>
      </c>
      <c r="B137" s="3" t="s">
        <v>153</v>
      </c>
      <c r="C137" s="4" t="s">
        <v>15</v>
      </c>
      <c r="D137" s="3" t="s">
        <v>21</v>
      </c>
      <c r="E137" s="5" t="n">
        <v>581.58</v>
      </c>
      <c r="F137" s="3" t="s">
        <v>21</v>
      </c>
      <c r="G137" s="5" t="n">
        <v>581.58</v>
      </c>
      <c r="H137" s="5" t="n">
        <f aca="false">ROUND(ABS(G137)-ABS(E137),2)</f>
        <v>0</v>
      </c>
      <c r="I137" s="3" t="s">
        <v>156</v>
      </c>
      <c r="J137" s="3"/>
      <c r="K137" s="3"/>
      <c r="L137" s="3" t="s">
        <v>157</v>
      </c>
      <c r="M137" s="3" t="s">
        <v>159</v>
      </c>
      <c r="N137" s="3"/>
    </row>
    <row r="138" customFormat="false" ht="34.5" hidden="false" customHeight="true" outlineLevel="0" collapsed="false">
      <c r="A138" s="3" t="s">
        <v>153</v>
      </c>
      <c r="B138" s="3" t="s">
        <v>153</v>
      </c>
      <c r="C138" s="4" t="s">
        <v>15</v>
      </c>
      <c r="D138" s="3" t="s">
        <v>24</v>
      </c>
      <c r="E138" s="5" t="n">
        <v>1100.82</v>
      </c>
      <c r="F138" s="3" t="s">
        <v>24</v>
      </c>
      <c r="G138" s="5" t="n">
        <v>1100.82</v>
      </c>
      <c r="H138" s="5" t="n">
        <f aca="false">ROUND(ABS(G138)-ABS(E138),2)</f>
        <v>0</v>
      </c>
      <c r="I138" s="3" t="s">
        <v>156</v>
      </c>
      <c r="J138" s="3"/>
      <c r="K138" s="3"/>
      <c r="L138" s="3" t="s">
        <v>157</v>
      </c>
      <c r="M138" s="3" t="s">
        <v>160</v>
      </c>
      <c r="N138" s="3"/>
    </row>
    <row r="139" customFormat="false" ht="34.5" hidden="false" customHeight="true" outlineLevel="0" collapsed="false">
      <c r="A139" s="3" t="s">
        <v>153</v>
      </c>
      <c r="B139" s="3" t="s">
        <v>153</v>
      </c>
      <c r="C139" s="6" t="s">
        <v>28</v>
      </c>
      <c r="D139" s="3" t="s">
        <v>25</v>
      </c>
      <c r="E139" s="5" t="n">
        <v>49.11</v>
      </c>
      <c r="F139" s="3" t="s">
        <v>25</v>
      </c>
      <c r="G139" s="5" t="n">
        <v>0</v>
      </c>
      <c r="H139" s="5" t="n">
        <f aca="false">ROUND(ABS(G139)-ABS(E139),2)</f>
        <v>-49.11</v>
      </c>
      <c r="I139" s="3" t="s">
        <v>156</v>
      </c>
      <c r="J139" s="3" t="s">
        <v>45</v>
      </c>
      <c r="K139" s="3"/>
      <c r="L139" s="3" t="s">
        <v>161</v>
      </c>
      <c r="M139" s="3"/>
      <c r="N139" s="3" t="s">
        <v>62</v>
      </c>
    </row>
    <row r="140" customFormat="false" ht="23.25" hidden="false" customHeight="true" outlineLevel="0" collapsed="false">
      <c r="A140" s="3" t="s">
        <v>153</v>
      </c>
      <c r="B140" s="3" t="s">
        <v>153</v>
      </c>
      <c r="C140" s="7" t="s">
        <v>37</v>
      </c>
      <c r="D140" s="3" t="s">
        <v>29</v>
      </c>
      <c r="E140" s="5" t="s">
        <v>37</v>
      </c>
      <c r="F140" s="3" t="s">
        <v>29</v>
      </c>
      <c r="G140" s="5" t="s">
        <v>37</v>
      </c>
      <c r="H140" s="5" t="s">
        <v>37</v>
      </c>
      <c r="I140" s="3" t="s">
        <v>156</v>
      </c>
      <c r="J140" s="3" t="s">
        <v>38</v>
      </c>
      <c r="K140" s="3"/>
      <c r="L140" s="3" t="s">
        <v>39</v>
      </c>
      <c r="M140" s="3"/>
      <c r="N140" s="3" t="s">
        <v>40</v>
      </c>
    </row>
    <row r="141" customFormat="false" ht="34.5" hidden="false" customHeight="true" outlineLevel="0" collapsed="false">
      <c r="A141" s="3" t="s">
        <v>153</v>
      </c>
      <c r="B141" s="3" t="s">
        <v>153</v>
      </c>
      <c r="C141" s="4" t="s">
        <v>15</v>
      </c>
      <c r="D141" s="3" t="s">
        <v>16</v>
      </c>
      <c r="E141" s="5" t="n">
        <v>2700</v>
      </c>
      <c r="F141" s="3" t="s">
        <v>16</v>
      </c>
      <c r="G141" s="5" t="n">
        <v>2700</v>
      </c>
      <c r="H141" s="5" t="n">
        <f aca="false">ROUND(ABS(G141)-ABS(E141),2)</f>
        <v>0</v>
      </c>
      <c r="I141" s="3" t="s">
        <v>162</v>
      </c>
      <c r="J141" s="3"/>
      <c r="K141" s="3"/>
      <c r="L141" s="3" t="s">
        <v>157</v>
      </c>
      <c r="M141" s="3" t="s">
        <v>163</v>
      </c>
      <c r="N141" s="3"/>
    </row>
    <row r="142" customFormat="false" ht="34.5" hidden="false" customHeight="true" outlineLevel="0" collapsed="false">
      <c r="A142" s="3" t="s">
        <v>153</v>
      </c>
      <c r="B142" s="3" t="s">
        <v>153</v>
      </c>
      <c r="C142" s="4" t="s">
        <v>15</v>
      </c>
      <c r="D142" s="3" t="s">
        <v>21</v>
      </c>
      <c r="E142" s="5" t="n">
        <v>552.83</v>
      </c>
      <c r="F142" s="3" t="s">
        <v>21</v>
      </c>
      <c r="G142" s="5" t="n">
        <v>552.83</v>
      </c>
      <c r="H142" s="5" t="n">
        <f aca="false">ROUND(ABS(G142)-ABS(E142),2)</f>
        <v>0</v>
      </c>
      <c r="I142" s="3" t="s">
        <v>162</v>
      </c>
      <c r="J142" s="3"/>
      <c r="K142" s="3"/>
      <c r="L142" s="3" t="s">
        <v>157</v>
      </c>
      <c r="M142" s="3" t="s">
        <v>164</v>
      </c>
      <c r="N142" s="3"/>
    </row>
    <row r="143" customFormat="false" ht="34.5" hidden="false" customHeight="true" outlineLevel="0" collapsed="false">
      <c r="A143" s="3" t="s">
        <v>153</v>
      </c>
      <c r="B143" s="3" t="s">
        <v>153</v>
      </c>
      <c r="C143" s="4" t="s">
        <v>15</v>
      </c>
      <c r="D143" s="3" t="s">
        <v>22</v>
      </c>
      <c r="E143" s="5" t="n">
        <v>65.25</v>
      </c>
      <c r="F143" s="3" t="s">
        <v>22</v>
      </c>
      <c r="G143" s="5" t="n">
        <v>65.25</v>
      </c>
      <c r="H143" s="5" t="n">
        <f aca="false">ROUND(ABS(G143)-ABS(E143),2)</f>
        <v>0</v>
      </c>
      <c r="I143" s="3" t="s">
        <v>162</v>
      </c>
      <c r="J143" s="3"/>
      <c r="K143" s="3"/>
      <c r="L143" s="3" t="s">
        <v>165</v>
      </c>
      <c r="M143" s="3" t="s">
        <v>166</v>
      </c>
      <c r="N143" s="3"/>
    </row>
    <row r="144" customFormat="false" ht="34.5" hidden="false" customHeight="true" outlineLevel="0" collapsed="false">
      <c r="A144" s="3" t="s">
        <v>153</v>
      </c>
      <c r="B144" s="3" t="s">
        <v>153</v>
      </c>
      <c r="C144" s="4" t="s">
        <v>15</v>
      </c>
      <c r="D144" s="3" t="s">
        <v>24</v>
      </c>
      <c r="E144" s="5" t="n">
        <v>1826.41</v>
      </c>
      <c r="F144" s="3" t="s">
        <v>24</v>
      </c>
      <c r="G144" s="5" t="n">
        <v>1826.41</v>
      </c>
      <c r="H144" s="5" t="n">
        <f aca="false">ROUND(ABS(G144)-ABS(E144),2)</f>
        <v>0</v>
      </c>
      <c r="I144" s="3" t="s">
        <v>162</v>
      </c>
      <c r="J144" s="3"/>
      <c r="K144" s="3"/>
      <c r="L144" s="3" t="s">
        <v>157</v>
      </c>
      <c r="M144" s="3" t="s">
        <v>167</v>
      </c>
      <c r="N144" s="3"/>
    </row>
    <row r="145" customFormat="false" ht="57" hidden="false" customHeight="true" outlineLevel="0" collapsed="false">
      <c r="A145" s="3" t="s">
        <v>153</v>
      </c>
      <c r="B145" s="3" t="s">
        <v>153</v>
      </c>
      <c r="C145" s="7" t="s">
        <v>37</v>
      </c>
      <c r="D145" s="3" t="s">
        <v>25</v>
      </c>
      <c r="E145" s="5" t="n">
        <v>24.4</v>
      </c>
      <c r="F145" s="3" t="s">
        <v>25</v>
      </c>
      <c r="G145" s="5" t="n">
        <v>182.69</v>
      </c>
      <c r="H145" s="5" t="n">
        <f aca="false">ROUND(ABS(G145)-ABS(E145),2)</f>
        <v>158.29</v>
      </c>
      <c r="I145" s="3" t="s">
        <v>162</v>
      </c>
      <c r="J145" s="3"/>
      <c r="K145" s="3"/>
      <c r="L145" s="3" t="s">
        <v>161</v>
      </c>
      <c r="M145" s="3" t="s">
        <v>168</v>
      </c>
      <c r="N145" s="3" t="s">
        <v>62</v>
      </c>
    </row>
    <row r="146" customFormat="false" ht="23.25" hidden="false" customHeight="true" outlineLevel="0" collapsed="false">
      <c r="A146" s="3" t="s">
        <v>153</v>
      </c>
      <c r="B146" s="3" t="s">
        <v>153</v>
      </c>
      <c r="C146" s="7" t="s">
        <v>37</v>
      </c>
      <c r="D146" s="3" t="s">
        <v>29</v>
      </c>
      <c r="E146" s="5" t="s">
        <v>37</v>
      </c>
      <c r="F146" s="3" t="s">
        <v>29</v>
      </c>
      <c r="G146" s="5" t="s">
        <v>37</v>
      </c>
      <c r="H146" s="5" t="s">
        <v>37</v>
      </c>
      <c r="I146" s="3" t="s">
        <v>162</v>
      </c>
      <c r="J146" s="3" t="s">
        <v>38</v>
      </c>
      <c r="K146" s="3"/>
      <c r="L146" s="3" t="s">
        <v>39</v>
      </c>
      <c r="M146" s="3"/>
      <c r="N146" s="3" t="s">
        <v>40</v>
      </c>
    </row>
    <row r="147" customFormat="false" ht="34.5" hidden="false" customHeight="true" outlineLevel="0" collapsed="false">
      <c r="A147" s="3" t="s">
        <v>153</v>
      </c>
      <c r="B147" s="3" t="s">
        <v>153</v>
      </c>
      <c r="C147" s="4" t="s">
        <v>15</v>
      </c>
      <c r="D147" s="3" t="s">
        <v>16</v>
      </c>
      <c r="E147" s="5" t="n">
        <v>700</v>
      </c>
      <c r="F147" s="3" t="s">
        <v>16</v>
      </c>
      <c r="G147" s="5" t="n">
        <v>700</v>
      </c>
      <c r="H147" s="5" t="n">
        <f aca="false">ROUND(ABS(G147)-ABS(E147),2)</f>
        <v>0</v>
      </c>
      <c r="I147" s="3" t="s">
        <v>169</v>
      </c>
      <c r="J147" s="3"/>
      <c r="K147" s="3"/>
      <c r="L147" s="3" t="s">
        <v>157</v>
      </c>
      <c r="M147" s="3" t="s">
        <v>170</v>
      </c>
      <c r="N147" s="3"/>
    </row>
    <row r="148" customFormat="false" ht="34.5" hidden="false" customHeight="true" outlineLevel="0" collapsed="false">
      <c r="A148" s="3" t="s">
        <v>153</v>
      </c>
      <c r="B148" s="3" t="s">
        <v>153</v>
      </c>
      <c r="C148" s="4" t="s">
        <v>15</v>
      </c>
      <c r="D148" s="3" t="s">
        <v>21</v>
      </c>
      <c r="E148" s="5" t="n">
        <v>169.74</v>
      </c>
      <c r="F148" s="3" t="s">
        <v>21</v>
      </c>
      <c r="G148" s="5" t="n">
        <v>169.74</v>
      </c>
      <c r="H148" s="5" t="n">
        <f aca="false">ROUND(ABS(G148)-ABS(E148),2)</f>
        <v>0</v>
      </c>
      <c r="I148" s="3" t="s">
        <v>169</v>
      </c>
      <c r="J148" s="3"/>
      <c r="K148" s="3"/>
      <c r="L148" s="3" t="s">
        <v>157</v>
      </c>
      <c r="M148" s="3" t="s">
        <v>171</v>
      </c>
      <c r="N148" s="3"/>
    </row>
    <row r="149" customFormat="false" ht="34.5" hidden="false" customHeight="true" outlineLevel="0" collapsed="false">
      <c r="A149" s="3" t="s">
        <v>153</v>
      </c>
      <c r="B149" s="3" t="s">
        <v>153</v>
      </c>
      <c r="C149" s="4" t="s">
        <v>15</v>
      </c>
      <c r="D149" s="3" t="s">
        <v>22</v>
      </c>
      <c r="E149" s="5" t="n">
        <v>50</v>
      </c>
      <c r="F149" s="3" t="s">
        <v>22</v>
      </c>
      <c r="G149" s="5" t="n">
        <v>50</v>
      </c>
      <c r="H149" s="5" t="n">
        <f aca="false">ROUND(ABS(G149)-ABS(E149),2)</f>
        <v>0</v>
      </c>
      <c r="I149" s="3" t="s">
        <v>169</v>
      </c>
      <c r="J149" s="3"/>
      <c r="K149" s="3"/>
      <c r="L149" s="3" t="s">
        <v>165</v>
      </c>
      <c r="M149" s="3" t="s">
        <v>172</v>
      </c>
      <c r="N149" s="3"/>
    </row>
    <row r="150" customFormat="false" ht="34.5" hidden="false" customHeight="true" outlineLevel="0" collapsed="false">
      <c r="A150" s="3" t="s">
        <v>153</v>
      </c>
      <c r="B150" s="3" t="s">
        <v>153</v>
      </c>
      <c r="C150" s="4" t="s">
        <v>15</v>
      </c>
      <c r="D150" s="3" t="s">
        <v>24</v>
      </c>
      <c r="E150" s="5" t="n">
        <v>280.17</v>
      </c>
      <c r="F150" s="3" t="s">
        <v>24</v>
      </c>
      <c r="G150" s="5" t="n">
        <v>280.17</v>
      </c>
      <c r="H150" s="5" t="n">
        <f aca="false">ROUND(ABS(G150)-ABS(E150),2)</f>
        <v>0</v>
      </c>
      <c r="I150" s="3" t="s">
        <v>169</v>
      </c>
      <c r="J150" s="3"/>
      <c r="K150" s="3"/>
      <c r="L150" s="3" t="s">
        <v>157</v>
      </c>
      <c r="M150" s="3" t="s">
        <v>173</v>
      </c>
      <c r="N150" s="3"/>
    </row>
    <row r="151" customFormat="false" ht="23.25" hidden="false" customHeight="true" outlineLevel="0" collapsed="false">
      <c r="A151" s="3" t="s">
        <v>153</v>
      </c>
      <c r="B151" s="3" t="s">
        <v>153</v>
      </c>
      <c r="C151" s="7" t="s">
        <v>37</v>
      </c>
      <c r="D151" s="3" t="s">
        <v>29</v>
      </c>
      <c r="E151" s="5" t="s">
        <v>37</v>
      </c>
      <c r="F151" s="3" t="s">
        <v>29</v>
      </c>
      <c r="G151" s="5" t="s">
        <v>37</v>
      </c>
      <c r="H151" s="5" t="s">
        <v>37</v>
      </c>
      <c r="I151" s="3" t="s">
        <v>169</v>
      </c>
      <c r="J151" s="3" t="s">
        <v>38</v>
      </c>
      <c r="K151" s="3"/>
      <c r="L151" s="3" t="s">
        <v>39</v>
      </c>
      <c r="M151" s="3"/>
      <c r="N151" s="3" t="s">
        <v>40</v>
      </c>
    </row>
    <row r="152" customFormat="false" ht="15" hidden="false" customHeight="true" outlineLevel="0" collapsed="false">
      <c r="A152" s="3" t="s">
        <v>153</v>
      </c>
      <c r="B152" s="3" t="s">
        <v>153</v>
      </c>
      <c r="C152" s="7" t="s">
        <v>37</v>
      </c>
      <c r="D152" s="3" t="s">
        <v>25</v>
      </c>
      <c r="E152" s="5" t="n">
        <v>109.18</v>
      </c>
      <c r="F152" s="3" t="s">
        <v>25</v>
      </c>
      <c r="G152" s="5" t="s">
        <v>37</v>
      </c>
      <c r="H152" s="5" t="s">
        <v>37</v>
      </c>
      <c r="I152" s="3" t="s">
        <v>70</v>
      </c>
      <c r="J152" s="3" t="s">
        <v>71</v>
      </c>
      <c r="K152" s="3"/>
      <c r="L152" s="3" t="s">
        <v>72</v>
      </c>
      <c r="M152" s="3"/>
      <c r="N152" s="3" t="s">
        <v>73</v>
      </c>
    </row>
    <row r="153" customFormat="false" ht="75.75" hidden="false" customHeight="true" outlineLevel="0" collapsed="false">
      <c r="A153" s="8" t="s">
        <v>153</v>
      </c>
      <c r="B153" s="8" t="s">
        <v>153</v>
      </c>
      <c r="C153" s="8" t="s">
        <v>28</v>
      </c>
      <c r="D153" s="8" t="s">
        <v>47</v>
      </c>
      <c r="E153" s="8" t="s">
        <v>174</v>
      </c>
      <c r="F153" s="8" t="s">
        <v>47</v>
      </c>
      <c r="G153" s="8" t="s">
        <v>18</v>
      </c>
      <c r="H153" s="8"/>
      <c r="I153" s="8" t="s">
        <v>49</v>
      </c>
      <c r="J153" s="8" t="s">
        <v>18</v>
      </c>
      <c r="K153" s="8"/>
      <c r="L153" s="8" t="s">
        <v>154</v>
      </c>
      <c r="M153" s="8" t="s">
        <v>155</v>
      </c>
      <c r="N153" s="8" t="s">
        <v>50</v>
      </c>
    </row>
    <row r="154" customFormat="false" ht="23.25" hidden="false" customHeight="true" outlineLevel="0" collapsed="false">
      <c r="A154" s="3" t="s">
        <v>175</v>
      </c>
      <c r="B154" s="3" t="s">
        <v>175</v>
      </c>
      <c r="C154" s="4" t="s">
        <v>15</v>
      </c>
      <c r="D154" s="3" t="s">
        <v>16</v>
      </c>
      <c r="E154" s="5" t="n">
        <v>7025</v>
      </c>
      <c r="F154" s="3" t="s">
        <v>16</v>
      </c>
      <c r="G154" s="5" t="n">
        <v>7025</v>
      </c>
      <c r="H154" s="5" t="n">
        <f aca="false">ROUND(ABS(G154)-ABS(E154),2)</f>
        <v>0</v>
      </c>
      <c r="I154" s="3" t="s">
        <v>17</v>
      </c>
      <c r="J154" s="3" t="s">
        <v>18</v>
      </c>
      <c r="K154" s="3"/>
      <c r="L154" s="3" t="s">
        <v>176</v>
      </c>
      <c r="M154" s="3" t="s">
        <v>177</v>
      </c>
      <c r="N154" s="3"/>
    </row>
    <row r="155" customFormat="false" ht="23.25" hidden="false" customHeight="true" outlineLevel="0" collapsed="false">
      <c r="A155" s="3" t="s">
        <v>175</v>
      </c>
      <c r="B155" s="3" t="s">
        <v>175</v>
      </c>
      <c r="C155" s="4" t="s">
        <v>15</v>
      </c>
      <c r="D155" s="3" t="s">
        <v>21</v>
      </c>
      <c r="E155" s="5" t="n">
        <v>1203.89</v>
      </c>
      <c r="F155" s="3" t="s">
        <v>21</v>
      </c>
      <c r="G155" s="5" t="n">
        <v>1203.89</v>
      </c>
      <c r="H155" s="5" t="n">
        <f aca="false">ROUND(ABS(G155)-ABS(E155),2)</f>
        <v>0</v>
      </c>
      <c r="I155" s="3" t="s">
        <v>17</v>
      </c>
      <c r="J155" s="3" t="s">
        <v>18</v>
      </c>
      <c r="K155" s="3"/>
      <c r="L155" s="3" t="s">
        <v>176</v>
      </c>
      <c r="M155" s="3" t="s">
        <v>177</v>
      </c>
      <c r="N155" s="3"/>
    </row>
    <row r="156" customFormat="false" ht="23.25" hidden="false" customHeight="true" outlineLevel="0" collapsed="false">
      <c r="A156" s="3" t="s">
        <v>175</v>
      </c>
      <c r="B156" s="3" t="s">
        <v>175</v>
      </c>
      <c r="C156" s="4" t="s">
        <v>15</v>
      </c>
      <c r="D156" s="3" t="s">
        <v>22</v>
      </c>
      <c r="E156" s="5" t="n">
        <v>161.5</v>
      </c>
      <c r="F156" s="3" t="s">
        <v>22</v>
      </c>
      <c r="G156" s="5" t="n">
        <v>161.5</v>
      </c>
      <c r="H156" s="5" t="n">
        <f aca="false">ROUND(ABS(G156)-ABS(E156),2)</f>
        <v>0</v>
      </c>
      <c r="I156" s="3" t="s">
        <v>17</v>
      </c>
      <c r="J156" s="3" t="s">
        <v>18</v>
      </c>
      <c r="K156" s="3"/>
      <c r="L156" s="3" t="s">
        <v>176</v>
      </c>
      <c r="M156" s="3" t="s">
        <v>177</v>
      </c>
      <c r="N156" s="3" t="s">
        <v>23</v>
      </c>
    </row>
    <row r="157" customFormat="false" ht="23.25" hidden="false" customHeight="true" outlineLevel="0" collapsed="false">
      <c r="A157" s="3" t="s">
        <v>175</v>
      </c>
      <c r="B157" s="3" t="s">
        <v>175</v>
      </c>
      <c r="C157" s="4" t="s">
        <v>15</v>
      </c>
      <c r="D157" s="3" t="s">
        <v>24</v>
      </c>
      <c r="E157" s="5" t="n">
        <v>4224.49</v>
      </c>
      <c r="F157" s="3" t="s">
        <v>24</v>
      </c>
      <c r="G157" s="5" t="n">
        <v>4224.49</v>
      </c>
      <c r="H157" s="5" t="n">
        <f aca="false">ROUND(ABS(G157)-ABS(E157),2)</f>
        <v>0</v>
      </c>
      <c r="I157" s="3" t="s">
        <v>17</v>
      </c>
      <c r="J157" s="3" t="s">
        <v>18</v>
      </c>
      <c r="K157" s="3"/>
      <c r="L157" s="3" t="s">
        <v>176</v>
      </c>
      <c r="M157" s="3" t="s">
        <v>177</v>
      </c>
      <c r="N157" s="3"/>
    </row>
    <row r="158" customFormat="false" ht="23.25" hidden="false" customHeight="true" outlineLevel="0" collapsed="false">
      <c r="A158" s="3" t="s">
        <v>175</v>
      </c>
      <c r="B158" s="3" t="s">
        <v>175</v>
      </c>
      <c r="C158" s="4" t="s">
        <v>15</v>
      </c>
      <c r="D158" s="3" t="s">
        <v>25</v>
      </c>
      <c r="E158" s="5" t="n">
        <v>248.76</v>
      </c>
      <c r="F158" s="3" t="s">
        <v>25</v>
      </c>
      <c r="G158" s="5" t="n">
        <v>248.76</v>
      </c>
      <c r="H158" s="5" t="n">
        <f aca="false">ROUND(ABS(G158)-ABS(E158),2)</f>
        <v>0</v>
      </c>
      <c r="I158" s="3" t="s">
        <v>17</v>
      </c>
      <c r="J158" s="3" t="s">
        <v>18</v>
      </c>
      <c r="K158" s="3"/>
      <c r="L158" s="3" t="s">
        <v>176</v>
      </c>
      <c r="M158" s="3" t="s">
        <v>177</v>
      </c>
      <c r="N158" s="3"/>
    </row>
    <row r="159" customFormat="false" ht="23.25" hidden="false" customHeight="true" outlineLevel="0" collapsed="false">
      <c r="A159" s="3" t="s">
        <v>175</v>
      </c>
      <c r="B159" s="3" t="s">
        <v>175</v>
      </c>
      <c r="C159" s="4" t="s">
        <v>15</v>
      </c>
      <c r="D159" s="3" t="s">
        <v>26</v>
      </c>
      <c r="E159" s="5" t="n">
        <v>0</v>
      </c>
      <c r="F159" s="3" t="s">
        <v>26</v>
      </c>
      <c r="G159" s="5" t="n">
        <v>0</v>
      </c>
      <c r="H159" s="5" t="n">
        <f aca="false">ROUND(ABS(G159)-ABS(E159),2)</f>
        <v>0</v>
      </c>
      <c r="I159" s="3" t="s">
        <v>17</v>
      </c>
      <c r="J159" s="3" t="s">
        <v>18</v>
      </c>
      <c r="K159" s="3"/>
      <c r="L159" s="3" t="s">
        <v>176</v>
      </c>
      <c r="M159" s="3" t="s">
        <v>177</v>
      </c>
      <c r="N159" s="3" t="s">
        <v>27</v>
      </c>
    </row>
    <row r="160" customFormat="false" ht="23.25" hidden="false" customHeight="true" outlineLevel="0" collapsed="false">
      <c r="A160" s="3" t="s">
        <v>175</v>
      </c>
      <c r="B160" s="3" t="s">
        <v>175</v>
      </c>
      <c r="C160" s="6" t="s">
        <v>28</v>
      </c>
      <c r="D160" s="3" t="s">
        <v>29</v>
      </c>
      <c r="E160" s="5" t="n">
        <v>1115.11</v>
      </c>
      <c r="F160" s="3" t="s">
        <v>29</v>
      </c>
      <c r="G160" s="5" t="n">
        <v>-6849.65</v>
      </c>
      <c r="H160" s="5" t="n">
        <f aca="false">ROUND(ABS(G160)-ABS(E160),2)</f>
        <v>5734.54</v>
      </c>
      <c r="I160" s="3" t="s">
        <v>17</v>
      </c>
      <c r="J160" s="3" t="s">
        <v>18</v>
      </c>
      <c r="K160" s="3"/>
      <c r="L160" s="3" t="s">
        <v>176</v>
      </c>
      <c r="M160" s="3" t="s">
        <v>177</v>
      </c>
      <c r="N160" s="3" t="s">
        <v>30</v>
      </c>
    </row>
    <row r="161" customFormat="false" ht="34.5" hidden="false" customHeight="true" outlineLevel="0" collapsed="false">
      <c r="A161" s="3" t="s">
        <v>175</v>
      </c>
      <c r="B161" s="3" t="s">
        <v>175</v>
      </c>
      <c r="C161" s="4" t="s">
        <v>15</v>
      </c>
      <c r="D161" s="3" t="s">
        <v>16</v>
      </c>
      <c r="E161" s="5" t="n">
        <v>3900</v>
      </c>
      <c r="F161" s="3" t="s">
        <v>16</v>
      </c>
      <c r="G161" s="5" t="n">
        <v>3900</v>
      </c>
      <c r="H161" s="5" t="n">
        <f aca="false">ROUND(ABS(G161)-ABS(E161),2)</f>
        <v>0</v>
      </c>
      <c r="I161" s="3" t="s">
        <v>178</v>
      </c>
      <c r="J161" s="3"/>
      <c r="K161" s="3"/>
      <c r="L161" s="3" t="s">
        <v>179</v>
      </c>
      <c r="M161" s="3" t="s">
        <v>180</v>
      </c>
      <c r="N161" s="3"/>
    </row>
    <row r="162" customFormat="false" ht="34.5" hidden="false" customHeight="true" outlineLevel="0" collapsed="false">
      <c r="A162" s="3" t="s">
        <v>175</v>
      </c>
      <c r="B162" s="3" t="s">
        <v>175</v>
      </c>
      <c r="C162" s="4" t="s">
        <v>15</v>
      </c>
      <c r="D162" s="3" t="s">
        <v>21</v>
      </c>
      <c r="E162" s="5" t="n">
        <v>581.58</v>
      </c>
      <c r="F162" s="3" t="s">
        <v>21</v>
      </c>
      <c r="G162" s="5" t="n">
        <v>581.58</v>
      </c>
      <c r="H162" s="5" t="n">
        <f aca="false">ROUND(ABS(G162)-ABS(E162),2)</f>
        <v>0</v>
      </c>
      <c r="I162" s="3" t="s">
        <v>178</v>
      </c>
      <c r="J162" s="3"/>
      <c r="K162" s="3"/>
      <c r="L162" s="3" t="s">
        <v>179</v>
      </c>
      <c r="M162" s="3" t="s">
        <v>181</v>
      </c>
      <c r="N162" s="3"/>
    </row>
    <row r="163" customFormat="false" ht="34.5" hidden="false" customHeight="true" outlineLevel="0" collapsed="false">
      <c r="A163" s="3" t="s">
        <v>175</v>
      </c>
      <c r="B163" s="3" t="s">
        <v>175</v>
      </c>
      <c r="C163" s="4" t="s">
        <v>15</v>
      </c>
      <c r="D163" s="3" t="s">
        <v>22</v>
      </c>
      <c r="E163" s="5" t="n">
        <v>120.5</v>
      </c>
      <c r="F163" s="3" t="s">
        <v>22</v>
      </c>
      <c r="G163" s="5" t="n">
        <v>120.5</v>
      </c>
      <c r="H163" s="5" t="n">
        <f aca="false">ROUND(ABS(G163)-ABS(E163),2)</f>
        <v>0</v>
      </c>
      <c r="I163" s="3" t="s">
        <v>178</v>
      </c>
      <c r="J163" s="3"/>
      <c r="K163" s="3"/>
      <c r="L163" s="3" t="s">
        <v>182</v>
      </c>
      <c r="M163" s="3" t="s">
        <v>183</v>
      </c>
      <c r="N163" s="3"/>
    </row>
    <row r="164" customFormat="false" ht="34.5" hidden="false" customHeight="true" outlineLevel="0" collapsed="false">
      <c r="A164" s="3" t="s">
        <v>175</v>
      </c>
      <c r="B164" s="3" t="s">
        <v>175</v>
      </c>
      <c r="C164" s="4" t="s">
        <v>15</v>
      </c>
      <c r="D164" s="3" t="s">
        <v>24</v>
      </c>
      <c r="E164" s="5" t="n">
        <v>1232.84</v>
      </c>
      <c r="F164" s="3" t="s">
        <v>24</v>
      </c>
      <c r="G164" s="5" t="n">
        <v>1232.84</v>
      </c>
      <c r="H164" s="5" t="n">
        <f aca="false">ROUND(ABS(G164)-ABS(E164),2)</f>
        <v>0</v>
      </c>
      <c r="I164" s="3" t="s">
        <v>178</v>
      </c>
      <c r="J164" s="3"/>
      <c r="K164" s="3"/>
      <c r="L164" s="3" t="s">
        <v>179</v>
      </c>
      <c r="M164" s="3" t="s">
        <v>184</v>
      </c>
      <c r="N164" s="3"/>
    </row>
    <row r="165" customFormat="false" ht="34.5" hidden="false" customHeight="true" outlineLevel="0" collapsed="false">
      <c r="A165" s="3" t="s">
        <v>175</v>
      </c>
      <c r="B165" s="3" t="s">
        <v>175</v>
      </c>
      <c r="C165" s="6" t="s">
        <v>28</v>
      </c>
      <c r="D165" s="3" t="s">
        <v>25</v>
      </c>
      <c r="E165" s="5" t="n">
        <v>58.71</v>
      </c>
      <c r="F165" s="3" t="s">
        <v>25</v>
      </c>
      <c r="G165" s="5" t="n">
        <v>0</v>
      </c>
      <c r="H165" s="5" t="n">
        <f aca="false">ROUND(ABS(G165)-ABS(E165),2)</f>
        <v>-58.71</v>
      </c>
      <c r="I165" s="3" t="s">
        <v>178</v>
      </c>
      <c r="J165" s="3" t="s">
        <v>45</v>
      </c>
      <c r="K165" s="3"/>
      <c r="L165" s="3" t="s">
        <v>185</v>
      </c>
      <c r="M165" s="3"/>
      <c r="N165" s="3" t="s">
        <v>62</v>
      </c>
    </row>
    <row r="166" customFormat="false" ht="23.25" hidden="false" customHeight="true" outlineLevel="0" collapsed="false">
      <c r="A166" s="3" t="s">
        <v>175</v>
      </c>
      <c r="B166" s="3" t="s">
        <v>175</v>
      </c>
      <c r="C166" s="7" t="s">
        <v>37</v>
      </c>
      <c r="D166" s="3" t="s">
        <v>29</v>
      </c>
      <c r="E166" s="5" t="s">
        <v>37</v>
      </c>
      <c r="F166" s="3" t="s">
        <v>29</v>
      </c>
      <c r="G166" s="5" t="s">
        <v>37</v>
      </c>
      <c r="H166" s="5" t="s">
        <v>37</v>
      </c>
      <c r="I166" s="3" t="s">
        <v>178</v>
      </c>
      <c r="J166" s="3" t="s">
        <v>38</v>
      </c>
      <c r="K166" s="3"/>
      <c r="L166" s="3" t="s">
        <v>39</v>
      </c>
      <c r="M166" s="3"/>
      <c r="N166" s="3" t="s">
        <v>40</v>
      </c>
    </row>
    <row r="167" customFormat="false" ht="34.5" hidden="false" customHeight="true" outlineLevel="0" collapsed="false">
      <c r="A167" s="3" t="s">
        <v>175</v>
      </c>
      <c r="B167" s="3" t="s">
        <v>175</v>
      </c>
      <c r="C167" s="4" t="s">
        <v>15</v>
      </c>
      <c r="D167" s="3" t="s">
        <v>16</v>
      </c>
      <c r="E167" s="5" t="n">
        <v>525</v>
      </c>
      <c r="F167" s="3" t="s">
        <v>16</v>
      </c>
      <c r="G167" s="5" t="n">
        <v>525</v>
      </c>
      <c r="H167" s="5" t="n">
        <f aca="false">ROUND(ABS(G167)-ABS(E167),2)</f>
        <v>0</v>
      </c>
      <c r="I167" s="3" t="s">
        <v>186</v>
      </c>
      <c r="J167" s="3"/>
      <c r="K167" s="3"/>
      <c r="L167" s="3" t="s">
        <v>179</v>
      </c>
      <c r="M167" s="3" t="s">
        <v>187</v>
      </c>
      <c r="N167" s="3"/>
    </row>
    <row r="168" customFormat="false" ht="34.5" hidden="false" customHeight="true" outlineLevel="0" collapsed="false">
      <c r="A168" s="3" t="s">
        <v>175</v>
      </c>
      <c r="B168" s="3" t="s">
        <v>175</v>
      </c>
      <c r="C168" s="4" t="s">
        <v>15</v>
      </c>
      <c r="D168" s="3" t="s">
        <v>21</v>
      </c>
      <c r="E168" s="5" t="n">
        <v>208.53</v>
      </c>
      <c r="F168" s="3" t="s">
        <v>21</v>
      </c>
      <c r="G168" s="5" t="n">
        <v>208.53</v>
      </c>
      <c r="H168" s="5" t="n">
        <f aca="false">ROUND(ABS(G168)-ABS(E168),2)</f>
        <v>0</v>
      </c>
      <c r="I168" s="3" t="s">
        <v>186</v>
      </c>
      <c r="J168" s="3"/>
      <c r="K168" s="3"/>
      <c r="L168" s="3" t="s">
        <v>179</v>
      </c>
      <c r="M168" s="3" t="s">
        <v>188</v>
      </c>
      <c r="N168" s="3"/>
    </row>
    <row r="169" customFormat="false" ht="34.5" hidden="false" customHeight="true" outlineLevel="0" collapsed="false">
      <c r="A169" s="3" t="s">
        <v>175</v>
      </c>
      <c r="B169" s="3" t="s">
        <v>175</v>
      </c>
      <c r="C169" s="4" t="s">
        <v>15</v>
      </c>
      <c r="D169" s="3" t="s">
        <v>22</v>
      </c>
      <c r="E169" s="5" t="n">
        <v>41</v>
      </c>
      <c r="F169" s="3" t="s">
        <v>22</v>
      </c>
      <c r="G169" s="5" t="n">
        <v>41</v>
      </c>
      <c r="H169" s="5" t="n">
        <f aca="false">ROUND(ABS(G169)-ABS(E169),2)</f>
        <v>0</v>
      </c>
      <c r="I169" s="3" t="s">
        <v>186</v>
      </c>
      <c r="J169" s="3"/>
      <c r="K169" s="3"/>
      <c r="L169" s="3" t="s">
        <v>182</v>
      </c>
      <c r="M169" s="3" t="s">
        <v>189</v>
      </c>
      <c r="N169" s="3"/>
    </row>
    <row r="170" customFormat="false" ht="34.5" hidden="false" customHeight="true" outlineLevel="0" collapsed="false">
      <c r="A170" s="3" t="s">
        <v>175</v>
      </c>
      <c r="B170" s="3" t="s">
        <v>175</v>
      </c>
      <c r="C170" s="4" t="s">
        <v>15</v>
      </c>
      <c r="D170" s="3" t="s">
        <v>24</v>
      </c>
      <c r="E170" s="5" t="n">
        <v>2991.65</v>
      </c>
      <c r="F170" s="3" t="s">
        <v>24</v>
      </c>
      <c r="G170" s="5" t="n">
        <v>2991.65</v>
      </c>
      <c r="H170" s="5" t="n">
        <f aca="false">ROUND(ABS(G170)-ABS(E170),2)</f>
        <v>0</v>
      </c>
      <c r="I170" s="3" t="s">
        <v>186</v>
      </c>
      <c r="J170" s="3"/>
      <c r="K170" s="3"/>
      <c r="L170" s="3" t="s">
        <v>179</v>
      </c>
      <c r="M170" s="3" t="s">
        <v>190</v>
      </c>
      <c r="N170" s="3"/>
    </row>
    <row r="171" customFormat="false" ht="68.25" hidden="false" customHeight="true" outlineLevel="0" collapsed="false">
      <c r="A171" s="3" t="s">
        <v>175</v>
      </c>
      <c r="B171" s="3" t="s">
        <v>175</v>
      </c>
      <c r="C171" s="7" t="s">
        <v>37</v>
      </c>
      <c r="D171" s="3" t="s">
        <v>25</v>
      </c>
      <c r="E171" s="5" t="n">
        <v>128.55</v>
      </c>
      <c r="F171" s="3" t="s">
        <v>25</v>
      </c>
      <c r="G171" s="5" t="n">
        <v>248.76</v>
      </c>
      <c r="H171" s="5" t="n">
        <f aca="false">ROUND(ABS(G171)-ABS(E171),2)</f>
        <v>120.21</v>
      </c>
      <c r="I171" s="3" t="s">
        <v>186</v>
      </c>
      <c r="J171" s="3"/>
      <c r="K171" s="3"/>
      <c r="L171" s="3" t="s">
        <v>185</v>
      </c>
      <c r="M171" s="3" t="s">
        <v>191</v>
      </c>
      <c r="N171" s="3" t="s">
        <v>62</v>
      </c>
    </row>
    <row r="172" customFormat="false" ht="23.25" hidden="false" customHeight="true" outlineLevel="0" collapsed="false">
      <c r="A172" s="3" t="s">
        <v>175</v>
      </c>
      <c r="B172" s="3" t="s">
        <v>175</v>
      </c>
      <c r="C172" s="7" t="s">
        <v>37</v>
      </c>
      <c r="D172" s="3" t="s">
        <v>29</v>
      </c>
      <c r="E172" s="5" t="s">
        <v>37</v>
      </c>
      <c r="F172" s="3" t="s">
        <v>29</v>
      </c>
      <c r="G172" s="5" t="s">
        <v>37</v>
      </c>
      <c r="H172" s="5" t="s">
        <v>37</v>
      </c>
      <c r="I172" s="3" t="s">
        <v>186</v>
      </c>
      <c r="J172" s="3" t="s">
        <v>38</v>
      </c>
      <c r="K172" s="3"/>
      <c r="L172" s="3" t="s">
        <v>39</v>
      </c>
      <c r="M172" s="3"/>
      <c r="N172" s="3" t="s">
        <v>40</v>
      </c>
    </row>
    <row r="173" customFormat="false" ht="34.5" hidden="false" customHeight="true" outlineLevel="0" collapsed="false">
      <c r="A173" s="3" t="s">
        <v>175</v>
      </c>
      <c r="B173" s="3" t="s">
        <v>175</v>
      </c>
      <c r="C173" s="4" t="s">
        <v>15</v>
      </c>
      <c r="D173" s="3" t="s">
        <v>16</v>
      </c>
      <c r="E173" s="5" t="n">
        <v>2600</v>
      </c>
      <c r="F173" s="3" t="s">
        <v>16</v>
      </c>
      <c r="G173" s="5" t="n">
        <v>2600</v>
      </c>
      <c r="H173" s="5" t="n">
        <f aca="false">ROUND(ABS(G173)-ABS(E173),2)</f>
        <v>0</v>
      </c>
      <c r="I173" s="3" t="s">
        <v>192</v>
      </c>
      <c r="J173" s="3"/>
      <c r="K173" s="3"/>
      <c r="L173" s="3" t="s">
        <v>179</v>
      </c>
      <c r="M173" s="3" t="s">
        <v>193</v>
      </c>
      <c r="N173" s="3"/>
    </row>
    <row r="174" customFormat="false" ht="34.5" hidden="false" customHeight="true" outlineLevel="0" collapsed="false">
      <c r="A174" s="3" t="s">
        <v>175</v>
      </c>
      <c r="B174" s="3" t="s">
        <v>175</v>
      </c>
      <c r="C174" s="4" t="s">
        <v>15</v>
      </c>
      <c r="D174" s="3" t="s">
        <v>21</v>
      </c>
      <c r="E174" s="5" t="n">
        <v>413.78</v>
      </c>
      <c r="F174" s="3" t="s">
        <v>21</v>
      </c>
      <c r="G174" s="5" t="n">
        <v>413.78</v>
      </c>
      <c r="H174" s="5" t="n">
        <f aca="false">ROUND(ABS(G174)-ABS(E174),2)</f>
        <v>0</v>
      </c>
      <c r="I174" s="3" t="s">
        <v>192</v>
      </c>
      <c r="J174" s="3"/>
      <c r="K174" s="3"/>
      <c r="L174" s="3" t="s">
        <v>179</v>
      </c>
      <c r="M174" s="3" t="s">
        <v>194</v>
      </c>
      <c r="N174" s="3"/>
    </row>
    <row r="175" customFormat="false" ht="23.25" hidden="false" customHeight="true" outlineLevel="0" collapsed="false">
      <c r="A175" s="3" t="s">
        <v>175</v>
      </c>
      <c r="B175" s="3" t="s">
        <v>175</v>
      </c>
      <c r="C175" s="7" t="s">
        <v>37</v>
      </c>
      <c r="D175" s="3" t="s">
        <v>29</v>
      </c>
      <c r="E175" s="5" t="s">
        <v>37</v>
      </c>
      <c r="F175" s="3" t="s">
        <v>29</v>
      </c>
      <c r="G175" s="5" t="s">
        <v>37</v>
      </c>
      <c r="H175" s="5" t="s">
        <v>37</v>
      </c>
      <c r="I175" s="3" t="s">
        <v>192</v>
      </c>
      <c r="J175" s="3" t="s">
        <v>38</v>
      </c>
      <c r="K175" s="3"/>
      <c r="L175" s="3" t="s">
        <v>39</v>
      </c>
      <c r="M175" s="3"/>
      <c r="N175" s="3" t="s">
        <v>40</v>
      </c>
    </row>
    <row r="176" customFormat="false" ht="15" hidden="false" customHeight="true" outlineLevel="0" collapsed="false">
      <c r="A176" s="3" t="s">
        <v>175</v>
      </c>
      <c r="B176" s="3" t="s">
        <v>175</v>
      </c>
      <c r="C176" s="7" t="s">
        <v>37</v>
      </c>
      <c r="D176" s="3" t="s">
        <v>25</v>
      </c>
      <c r="E176" s="5" t="n">
        <v>61.5</v>
      </c>
      <c r="F176" s="3" t="s">
        <v>25</v>
      </c>
      <c r="G176" s="5" t="s">
        <v>37</v>
      </c>
      <c r="H176" s="5" t="s">
        <v>37</v>
      </c>
      <c r="I176" s="3" t="s">
        <v>70</v>
      </c>
      <c r="J176" s="3" t="s">
        <v>71</v>
      </c>
      <c r="K176" s="3"/>
      <c r="L176" s="3" t="s">
        <v>72</v>
      </c>
      <c r="M176" s="3"/>
      <c r="N176" s="3" t="s">
        <v>73</v>
      </c>
    </row>
    <row r="177" customFormat="false" ht="75.75" hidden="false" customHeight="true" outlineLevel="0" collapsed="false">
      <c r="A177" s="8" t="s">
        <v>175</v>
      </c>
      <c r="B177" s="8" t="s">
        <v>175</v>
      </c>
      <c r="C177" s="8" t="s">
        <v>28</v>
      </c>
      <c r="D177" s="8" t="s">
        <v>47</v>
      </c>
      <c r="E177" s="8" t="s">
        <v>195</v>
      </c>
      <c r="F177" s="8" t="s">
        <v>47</v>
      </c>
      <c r="G177" s="8" t="s">
        <v>18</v>
      </c>
      <c r="H177" s="8"/>
      <c r="I177" s="8" t="s">
        <v>49</v>
      </c>
      <c r="J177" s="8" t="s">
        <v>18</v>
      </c>
      <c r="K177" s="8"/>
      <c r="L177" s="8" t="s">
        <v>176</v>
      </c>
      <c r="M177" s="8" t="s">
        <v>177</v>
      </c>
      <c r="N177" s="8" t="s">
        <v>50</v>
      </c>
    </row>
    <row r="178" customFormat="false" ht="23.25" hidden="false" customHeight="true" outlineLevel="0" collapsed="false">
      <c r="A178" s="3" t="s">
        <v>196</v>
      </c>
      <c r="B178" s="3" t="s">
        <v>196</v>
      </c>
      <c r="C178" s="4" t="s">
        <v>15</v>
      </c>
      <c r="D178" s="3" t="s">
        <v>16</v>
      </c>
      <c r="E178" s="5" t="n">
        <v>8400</v>
      </c>
      <c r="F178" s="3" t="s">
        <v>16</v>
      </c>
      <c r="G178" s="5" t="n">
        <v>8400</v>
      </c>
      <c r="H178" s="5" t="n">
        <f aca="false">ROUND(ABS(G178)-ABS(E178),2)</f>
        <v>0</v>
      </c>
      <c r="I178" s="3" t="s">
        <v>17</v>
      </c>
      <c r="J178" s="3" t="s">
        <v>18</v>
      </c>
      <c r="K178" s="3"/>
      <c r="L178" s="3" t="s">
        <v>197</v>
      </c>
      <c r="M178" s="3" t="s">
        <v>198</v>
      </c>
      <c r="N178" s="3"/>
    </row>
    <row r="179" customFormat="false" ht="23.25" hidden="false" customHeight="true" outlineLevel="0" collapsed="false">
      <c r="A179" s="3" t="s">
        <v>196</v>
      </c>
      <c r="B179" s="3" t="s">
        <v>196</v>
      </c>
      <c r="C179" s="4" t="s">
        <v>15</v>
      </c>
      <c r="D179" s="3" t="s">
        <v>21</v>
      </c>
      <c r="E179" s="5" t="n">
        <v>1908</v>
      </c>
      <c r="F179" s="3" t="s">
        <v>21</v>
      </c>
      <c r="G179" s="5" t="n">
        <v>1908</v>
      </c>
      <c r="H179" s="5" t="n">
        <f aca="false">ROUND(ABS(G179)-ABS(E179),2)</f>
        <v>0</v>
      </c>
      <c r="I179" s="3" t="s">
        <v>17</v>
      </c>
      <c r="J179" s="3" t="s">
        <v>18</v>
      </c>
      <c r="K179" s="3"/>
      <c r="L179" s="3" t="s">
        <v>197</v>
      </c>
      <c r="M179" s="3" t="s">
        <v>198</v>
      </c>
      <c r="N179" s="3"/>
    </row>
    <row r="180" customFormat="false" ht="23.25" hidden="false" customHeight="true" outlineLevel="0" collapsed="false">
      <c r="A180" s="3" t="s">
        <v>196</v>
      </c>
      <c r="B180" s="3" t="s">
        <v>196</v>
      </c>
      <c r="C180" s="4" t="s">
        <v>15</v>
      </c>
      <c r="D180" s="3" t="s">
        <v>22</v>
      </c>
      <c r="E180" s="5" t="n">
        <v>50</v>
      </c>
      <c r="F180" s="3" t="s">
        <v>22</v>
      </c>
      <c r="G180" s="5" t="n">
        <v>50</v>
      </c>
      <c r="H180" s="5" t="n">
        <f aca="false">ROUND(ABS(G180)-ABS(E180),2)</f>
        <v>0</v>
      </c>
      <c r="I180" s="3" t="s">
        <v>17</v>
      </c>
      <c r="J180" s="3" t="s">
        <v>18</v>
      </c>
      <c r="K180" s="3"/>
      <c r="L180" s="3" t="s">
        <v>197</v>
      </c>
      <c r="M180" s="3" t="s">
        <v>198</v>
      </c>
      <c r="N180" s="3" t="s">
        <v>23</v>
      </c>
    </row>
    <row r="181" customFormat="false" ht="23.25" hidden="false" customHeight="true" outlineLevel="0" collapsed="false">
      <c r="A181" s="3" t="s">
        <v>196</v>
      </c>
      <c r="B181" s="3" t="s">
        <v>196</v>
      </c>
      <c r="C181" s="4" t="s">
        <v>15</v>
      </c>
      <c r="D181" s="3" t="s">
        <v>24</v>
      </c>
      <c r="E181" s="5" t="n">
        <v>3369.65</v>
      </c>
      <c r="F181" s="3" t="s">
        <v>24</v>
      </c>
      <c r="G181" s="5" t="n">
        <v>3369.65</v>
      </c>
      <c r="H181" s="5" t="n">
        <f aca="false">ROUND(ABS(G181)-ABS(E181),2)</f>
        <v>0</v>
      </c>
      <c r="I181" s="3" t="s">
        <v>17</v>
      </c>
      <c r="J181" s="3" t="s">
        <v>18</v>
      </c>
      <c r="K181" s="3"/>
      <c r="L181" s="3" t="s">
        <v>197</v>
      </c>
      <c r="M181" s="3" t="s">
        <v>198</v>
      </c>
      <c r="N181" s="3"/>
    </row>
    <row r="182" customFormat="false" ht="23.25" hidden="false" customHeight="true" outlineLevel="0" collapsed="false">
      <c r="A182" s="3" t="s">
        <v>196</v>
      </c>
      <c r="B182" s="3" t="s">
        <v>196</v>
      </c>
      <c r="C182" s="4" t="s">
        <v>15</v>
      </c>
      <c r="D182" s="3" t="s">
        <v>25</v>
      </c>
      <c r="E182" s="5" t="n">
        <v>80.35</v>
      </c>
      <c r="F182" s="3" t="s">
        <v>25</v>
      </c>
      <c r="G182" s="5" t="n">
        <v>80.35</v>
      </c>
      <c r="H182" s="5" t="n">
        <f aca="false">ROUND(ABS(G182)-ABS(E182),2)</f>
        <v>0</v>
      </c>
      <c r="I182" s="3" t="s">
        <v>17</v>
      </c>
      <c r="J182" s="3" t="s">
        <v>18</v>
      </c>
      <c r="K182" s="3"/>
      <c r="L182" s="3" t="s">
        <v>197</v>
      </c>
      <c r="M182" s="3" t="s">
        <v>198</v>
      </c>
      <c r="N182" s="3"/>
    </row>
    <row r="183" customFormat="false" ht="23.25" hidden="false" customHeight="true" outlineLevel="0" collapsed="false">
      <c r="A183" s="3" t="s">
        <v>196</v>
      </c>
      <c r="B183" s="3" t="s">
        <v>196</v>
      </c>
      <c r="C183" s="4" t="s">
        <v>15</v>
      </c>
      <c r="D183" s="3" t="s">
        <v>26</v>
      </c>
      <c r="E183" s="5" t="n">
        <v>0</v>
      </c>
      <c r="F183" s="3" t="s">
        <v>26</v>
      </c>
      <c r="G183" s="5" t="n">
        <v>0</v>
      </c>
      <c r="H183" s="5" t="n">
        <f aca="false">ROUND(ABS(G183)-ABS(E183),2)</f>
        <v>0</v>
      </c>
      <c r="I183" s="3" t="s">
        <v>17</v>
      </c>
      <c r="J183" s="3" t="s">
        <v>18</v>
      </c>
      <c r="K183" s="3"/>
      <c r="L183" s="3" t="s">
        <v>197</v>
      </c>
      <c r="M183" s="3" t="s">
        <v>198</v>
      </c>
      <c r="N183" s="3" t="s">
        <v>27</v>
      </c>
    </row>
    <row r="184" customFormat="false" ht="23.25" hidden="false" customHeight="true" outlineLevel="0" collapsed="false">
      <c r="A184" s="3" t="s">
        <v>196</v>
      </c>
      <c r="B184" s="3" t="s">
        <v>196</v>
      </c>
      <c r="C184" s="6" t="s">
        <v>28</v>
      </c>
      <c r="D184" s="3" t="s">
        <v>29</v>
      </c>
      <c r="E184" s="5" t="n">
        <v>2813.5</v>
      </c>
      <c r="F184" s="3" t="s">
        <v>29</v>
      </c>
      <c r="G184" s="5" t="n">
        <v>-3827.65</v>
      </c>
      <c r="H184" s="5" t="n">
        <f aca="false">ROUND(ABS(G184)-ABS(E184),2)</f>
        <v>1014.15</v>
      </c>
      <c r="I184" s="3" t="s">
        <v>17</v>
      </c>
      <c r="J184" s="3" t="s">
        <v>18</v>
      </c>
      <c r="K184" s="3"/>
      <c r="L184" s="3" t="s">
        <v>197</v>
      </c>
      <c r="M184" s="3" t="s">
        <v>198</v>
      </c>
      <c r="N184" s="3" t="s">
        <v>30</v>
      </c>
    </row>
    <row r="185" customFormat="false" ht="34.5" hidden="false" customHeight="true" outlineLevel="0" collapsed="false">
      <c r="A185" s="3" t="s">
        <v>196</v>
      </c>
      <c r="B185" s="3" t="s">
        <v>196</v>
      </c>
      <c r="C185" s="4" t="s">
        <v>15</v>
      </c>
      <c r="D185" s="3" t="s">
        <v>16</v>
      </c>
      <c r="E185" s="5" t="n">
        <v>4900</v>
      </c>
      <c r="F185" s="3" t="s">
        <v>16</v>
      </c>
      <c r="G185" s="5" t="n">
        <v>4900</v>
      </c>
      <c r="H185" s="5" t="n">
        <f aca="false">ROUND(ABS(G185)-ABS(E185),2)</f>
        <v>0</v>
      </c>
      <c r="I185" s="3" t="s">
        <v>199</v>
      </c>
      <c r="J185" s="3"/>
      <c r="K185" s="3"/>
      <c r="L185" s="3" t="s">
        <v>200</v>
      </c>
      <c r="M185" s="3" t="s">
        <v>201</v>
      </c>
      <c r="N185" s="3"/>
    </row>
    <row r="186" customFormat="false" ht="34.5" hidden="false" customHeight="true" outlineLevel="0" collapsed="false">
      <c r="A186" s="3" t="s">
        <v>196</v>
      </c>
      <c r="B186" s="3" t="s">
        <v>196</v>
      </c>
      <c r="C186" s="4" t="s">
        <v>15</v>
      </c>
      <c r="D186" s="3" t="s">
        <v>21</v>
      </c>
      <c r="E186" s="5" t="n">
        <v>945.1</v>
      </c>
      <c r="F186" s="3" t="s">
        <v>21</v>
      </c>
      <c r="G186" s="5" t="n">
        <v>945.1</v>
      </c>
      <c r="H186" s="5" t="n">
        <f aca="false">ROUND(ABS(G186)-ABS(E186),2)</f>
        <v>0</v>
      </c>
      <c r="I186" s="3" t="s">
        <v>199</v>
      </c>
      <c r="J186" s="3"/>
      <c r="K186" s="3"/>
      <c r="L186" s="3" t="s">
        <v>200</v>
      </c>
      <c r="M186" s="3" t="s">
        <v>202</v>
      </c>
      <c r="N186" s="3"/>
    </row>
    <row r="187" customFormat="false" ht="34.5" hidden="false" customHeight="true" outlineLevel="0" collapsed="false">
      <c r="A187" s="3" t="s">
        <v>196</v>
      </c>
      <c r="B187" s="3" t="s">
        <v>196</v>
      </c>
      <c r="C187" s="4" t="s">
        <v>15</v>
      </c>
      <c r="D187" s="3" t="s">
        <v>22</v>
      </c>
      <c r="E187" s="5" t="n">
        <v>50</v>
      </c>
      <c r="F187" s="3" t="s">
        <v>22</v>
      </c>
      <c r="G187" s="5" t="n">
        <v>50</v>
      </c>
      <c r="H187" s="5" t="n">
        <f aca="false">ROUND(ABS(G187)-ABS(E187),2)</f>
        <v>0</v>
      </c>
      <c r="I187" s="3" t="s">
        <v>199</v>
      </c>
      <c r="J187" s="3"/>
      <c r="K187" s="3"/>
      <c r="L187" s="3" t="s">
        <v>203</v>
      </c>
      <c r="M187" s="3" t="s">
        <v>204</v>
      </c>
      <c r="N187" s="3"/>
    </row>
    <row r="188" customFormat="false" ht="34.5" hidden="false" customHeight="true" outlineLevel="0" collapsed="false">
      <c r="A188" s="3" t="s">
        <v>196</v>
      </c>
      <c r="B188" s="3" t="s">
        <v>196</v>
      </c>
      <c r="C188" s="4" t="s">
        <v>15</v>
      </c>
      <c r="D188" s="3" t="s">
        <v>24</v>
      </c>
      <c r="E188" s="5" t="n">
        <v>1839.06</v>
      </c>
      <c r="F188" s="3" t="s">
        <v>24</v>
      </c>
      <c r="G188" s="5" t="n">
        <v>1839.06</v>
      </c>
      <c r="H188" s="5" t="n">
        <f aca="false">ROUND(ABS(G188)-ABS(E188),2)</f>
        <v>0</v>
      </c>
      <c r="I188" s="3" t="s">
        <v>199</v>
      </c>
      <c r="J188" s="3"/>
      <c r="K188" s="3"/>
      <c r="L188" s="3" t="s">
        <v>200</v>
      </c>
      <c r="M188" s="3" t="s">
        <v>205</v>
      </c>
      <c r="N188" s="3"/>
    </row>
    <row r="189" customFormat="false" ht="34.5" hidden="false" customHeight="true" outlineLevel="0" collapsed="false">
      <c r="A189" s="3" t="s">
        <v>196</v>
      </c>
      <c r="B189" s="3" t="s">
        <v>196</v>
      </c>
      <c r="C189" s="6" t="s">
        <v>28</v>
      </c>
      <c r="D189" s="3" t="s">
        <v>25</v>
      </c>
      <c r="E189" s="5" t="n">
        <v>47.45</v>
      </c>
      <c r="F189" s="3" t="s">
        <v>25</v>
      </c>
      <c r="G189" s="5" t="n">
        <v>80.35</v>
      </c>
      <c r="H189" s="5" t="n">
        <f aca="false">ROUND(ABS(G189)-ABS(E189),2)</f>
        <v>32.9</v>
      </c>
      <c r="I189" s="3" t="s">
        <v>199</v>
      </c>
      <c r="J189" s="3"/>
      <c r="K189" s="3"/>
      <c r="L189" s="3" t="s">
        <v>206</v>
      </c>
      <c r="M189" s="3" t="s">
        <v>207</v>
      </c>
      <c r="N189" s="3"/>
    </row>
    <row r="190" customFormat="false" ht="23.25" hidden="false" customHeight="true" outlineLevel="0" collapsed="false">
      <c r="A190" s="3" t="s">
        <v>196</v>
      </c>
      <c r="B190" s="3" t="s">
        <v>196</v>
      </c>
      <c r="C190" s="7" t="s">
        <v>37</v>
      </c>
      <c r="D190" s="3" t="s">
        <v>29</v>
      </c>
      <c r="E190" s="5" t="s">
        <v>37</v>
      </c>
      <c r="F190" s="3" t="s">
        <v>29</v>
      </c>
      <c r="G190" s="5" t="s">
        <v>37</v>
      </c>
      <c r="H190" s="5" t="s">
        <v>37</v>
      </c>
      <c r="I190" s="3" t="s">
        <v>199</v>
      </c>
      <c r="J190" s="3" t="s">
        <v>38</v>
      </c>
      <c r="K190" s="3"/>
      <c r="L190" s="3" t="s">
        <v>39</v>
      </c>
      <c r="M190" s="3"/>
      <c r="N190" s="3" t="s">
        <v>40</v>
      </c>
    </row>
    <row r="191" customFormat="false" ht="34.5" hidden="false" customHeight="true" outlineLevel="0" collapsed="false">
      <c r="A191" s="3" t="s">
        <v>196</v>
      </c>
      <c r="B191" s="3" t="s">
        <v>196</v>
      </c>
      <c r="C191" s="4" t="s">
        <v>15</v>
      </c>
      <c r="D191" s="3" t="s">
        <v>16</v>
      </c>
      <c r="E191" s="5" t="n">
        <v>3500</v>
      </c>
      <c r="F191" s="3" t="s">
        <v>16</v>
      </c>
      <c r="G191" s="5" t="n">
        <v>3500</v>
      </c>
      <c r="H191" s="5" t="n">
        <f aca="false">ROUND(ABS(G191)-ABS(E191),2)</f>
        <v>0</v>
      </c>
      <c r="I191" s="3" t="s">
        <v>208</v>
      </c>
      <c r="J191" s="3"/>
      <c r="K191" s="3"/>
      <c r="L191" s="3" t="s">
        <v>200</v>
      </c>
      <c r="M191" s="3" t="s">
        <v>209</v>
      </c>
      <c r="N191" s="3"/>
    </row>
    <row r="192" customFormat="false" ht="34.5" hidden="false" customHeight="true" outlineLevel="0" collapsed="false">
      <c r="A192" s="3" t="s">
        <v>196</v>
      </c>
      <c r="B192" s="3" t="s">
        <v>196</v>
      </c>
      <c r="C192" s="4" t="s">
        <v>15</v>
      </c>
      <c r="D192" s="3" t="s">
        <v>21</v>
      </c>
      <c r="E192" s="5" t="n">
        <v>962.9</v>
      </c>
      <c r="F192" s="3" t="s">
        <v>21</v>
      </c>
      <c r="G192" s="5" t="n">
        <v>962.9</v>
      </c>
      <c r="H192" s="5" t="n">
        <f aca="false">ROUND(ABS(G192)-ABS(E192),2)</f>
        <v>0</v>
      </c>
      <c r="I192" s="3" t="s">
        <v>208</v>
      </c>
      <c r="J192" s="3"/>
      <c r="K192" s="3"/>
      <c r="L192" s="3" t="s">
        <v>200</v>
      </c>
      <c r="M192" s="3" t="s">
        <v>210</v>
      </c>
      <c r="N192" s="3"/>
    </row>
    <row r="193" customFormat="false" ht="34.5" hidden="false" customHeight="true" outlineLevel="0" collapsed="false">
      <c r="A193" s="3" t="s">
        <v>196</v>
      </c>
      <c r="B193" s="3" t="s">
        <v>196</v>
      </c>
      <c r="C193" s="4" t="s">
        <v>15</v>
      </c>
      <c r="D193" s="3" t="s">
        <v>24</v>
      </c>
      <c r="E193" s="5" t="n">
        <v>1530.59</v>
      </c>
      <c r="F193" s="3" t="s">
        <v>24</v>
      </c>
      <c r="G193" s="5" t="n">
        <v>1530.59</v>
      </c>
      <c r="H193" s="5" t="n">
        <f aca="false">ROUND(ABS(G193)-ABS(E193),2)</f>
        <v>0</v>
      </c>
      <c r="I193" s="3" t="s">
        <v>208</v>
      </c>
      <c r="J193" s="3"/>
      <c r="K193" s="3"/>
      <c r="L193" s="3" t="s">
        <v>200</v>
      </c>
      <c r="M193" s="3" t="s">
        <v>211</v>
      </c>
      <c r="N193" s="3"/>
    </row>
    <row r="194" customFormat="false" ht="34.5" hidden="false" customHeight="true" outlineLevel="0" collapsed="false">
      <c r="A194" s="3" t="s">
        <v>196</v>
      </c>
      <c r="B194" s="3" t="s">
        <v>196</v>
      </c>
      <c r="C194" s="6" t="s">
        <v>28</v>
      </c>
      <c r="D194" s="3" t="s">
        <v>25</v>
      </c>
      <c r="E194" s="5" t="n">
        <v>32.9</v>
      </c>
      <c r="F194" s="3" t="s">
        <v>25</v>
      </c>
      <c r="G194" s="5" t="n">
        <v>0</v>
      </c>
      <c r="H194" s="5" t="n">
        <f aca="false">ROUND(ABS(G194)-ABS(E194),2)</f>
        <v>-32.9</v>
      </c>
      <c r="I194" s="3" t="s">
        <v>208</v>
      </c>
      <c r="J194" s="3" t="s">
        <v>45</v>
      </c>
      <c r="K194" s="3"/>
      <c r="L194" s="3" t="s">
        <v>206</v>
      </c>
      <c r="M194" s="3"/>
      <c r="N194" s="3"/>
    </row>
    <row r="195" customFormat="false" ht="23.25" hidden="false" customHeight="true" outlineLevel="0" collapsed="false">
      <c r="A195" s="3" t="s">
        <v>196</v>
      </c>
      <c r="B195" s="3" t="s">
        <v>196</v>
      </c>
      <c r="C195" s="7" t="s">
        <v>37</v>
      </c>
      <c r="D195" s="3" t="s">
        <v>29</v>
      </c>
      <c r="E195" s="5" t="s">
        <v>37</v>
      </c>
      <c r="F195" s="3" t="s">
        <v>29</v>
      </c>
      <c r="G195" s="5" t="s">
        <v>37</v>
      </c>
      <c r="H195" s="5" t="s">
        <v>37</v>
      </c>
      <c r="I195" s="3" t="s">
        <v>208</v>
      </c>
      <c r="J195" s="3" t="s">
        <v>38</v>
      </c>
      <c r="K195" s="3"/>
      <c r="L195" s="3" t="s">
        <v>39</v>
      </c>
      <c r="M195" s="3"/>
      <c r="N195" s="3" t="s">
        <v>40</v>
      </c>
    </row>
    <row r="196" customFormat="false" ht="75.75" hidden="false" customHeight="true" outlineLevel="0" collapsed="false">
      <c r="A196" s="8" t="s">
        <v>196</v>
      </c>
      <c r="B196" s="8" t="s">
        <v>196</v>
      </c>
      <c r="C196" s="8" t="s">
        <v>28</v>
      </c>
      <c r="D196" s="8" t="s">
        <v>47</v>
      </c>
      <c r="E196" s="8" t="s">
        <v>212</v>
      </c>
      <c r="F196" s="8" t="s">
        <v>47</v>
      </c>
      <c r="G196" s="8" t="s">
        <v>18</v>
      </c>
      <c r="H196" s="8"/>
      <c r="I196" s="8" t="s">
        <v>49</v>
      </c>
      <c r="J196" s="8" t="s">
        <v>18</v>
      </c>
      <c r="K196" s="8"/>
      <c r="L196" s="8" t="s">
        <v>197</v>
      </c>
      <c r="M196" s="8" t="s">
        <v>198</v>
      </c>
      <c r="N196" s="8" t="s">
        <v>50</v>
      </c>
    </row>
    <row r="197" customFormat="false" ht="23.25" hidden="false" customHeight="true" outlineLevel="0" collapsed="false">
      <c r="A197" s="3" t="s">
        <v>213</v>
      </c>
      <c r="B197" s="3" t="s">
        <v>213</v>
      </c>
      <c r="C197" s="6" t="s">
        <v>28</v>
      </c>
      <c r="D197" s="3" t="s">
        <v>16</v>
      </c>
      <c r="E197" s="5" t="n">
        <v>4200</v>
      </c>
      <c r="F197" s="3" t="s">
        <v>16</v>
      </c>
      <c r="G197" s="5" t="n">
        <v>3800</v>
      </c>
      <c r="H197" s="5" t="n">
        <f aca="false">ROUND(ABS(G197)-ABS(E197),2)</f>
        <v>-400</v>
      </c>
      <c r="I197" s="3" t="s">
        <v>17</v>
      </c>
      <c r="J197" s="3" t="s">
        <v>214</v>
      </c>
      <c r="K197" s="3"/>
      <c r="L197" s="3" t="s">
        <v>215</v>
      </c>
      <c r="M197" s="3" t="s">
        <v>216</v>
      </c>
      <c r="N197" s="3"/>
    </row>
    <row r="198" customFormat="false" ht="23.25" hidden="false" customHeight="true" outlineLevel="0" collapsed="false">
      <c r="A198" s="3" t="s">
        <v>213</v>
      </c>
      <c r="B198" s="3" t="s">
        <v>213</v>
      </c>
      <c r="C198" s="4" t="s">
        <v>15</v>
      </c>
      <c r="D198" s="3" t="s">
        <v>21</v>
      </c>
      <c r="E198" s="5" t="n">
        <v>1440.01</v>
      </c>
      <c r="F198" s="3" t="s">
        <v>21</v>
      </c>
      <c r="G198" s="5" t="n">
        <v>1440.01</v>
      </c>
      <c r="H198" s="5" t="n">
        <f aca="false">ROUND(ABS(G198)-ABS(E198),2)</f>
        <v>0</v>
      </c>
      <c r="I198" s="3" t="s">
        <v>17</v>
      </c>
      <c r="J198" s="3" t="s">
        <v>214</v>
      </c>
      <c r="K198" s="3"/>
      <c r="L198" s="3" t="s">
        <v>215</v>
      </c>
      <c r="M198" s="3" t="s">
        <v>216</v>
      </c>
      <c r="N198" s="3"/>
    </row>
    <row r="199" customFormat="false" ht="23.25" hidden="false" customHeight="true" outlineLevel="0" collapsed="false">
      <c r="A199" s="3" t="s">
        <v>213</v>
      </c>
      <c r="B199" s="3" t="s">
        <v>213</v>
      </c>
      <c r="C199" s="4" t="s">
        <v>15</v>
      </c>
      <c r="D199" s="3" t="s">
        <v>22</v>
      </c>
      <c r="E199" s="5" t="n">
        <v>65.25</v>
      </c>
      <c r="F199" s="3" t="s">
        <v>22</v>
      </c>
      <c r="G199" s="5" t="n">
        <v>65.25</v>
      </c>
      <c r="H199" s="5" t="n">
        <f aca="false">ROUND(ABS(G199)-ABS(E199),2)</f>
        <v>0</v>
      </c>
      <c r="I199" s="3" t="s">
        <v>17</v>
      </c>
      <c r="J199" s="3" t="s">
        <v>214</v>
      </c>
      <c r="K199" s="3"/>
      <c r="L199" s="3" t="s">
        <v>215</v>
      </c>
      <c r="M199" s="3" t="s">
        <v>216</v>
      </c>
      <c r="N199" s="3" t="s">
        <v>23</v>
      </c>
    </row>
    <row r="200" customFormat="false" ht="23.25" hidden="false" customHeight="true" outlineLevel="0" collapsed="false">
      <c r="A200" s="3" t="s">
        <v>213</v>
      </c>
      <c r="B200" s="3" t="s">
        <v>213</v>
      </c>
      <c r="C200" s="4" t="s">
        <v>15</v>
      </c>
      <c r="D200" s="3" t="s">
        <v>24</v>
      </c>
      <c r="E200" s="5" t="n">
        <v>3557.34</v>
      </c>
      <c r="F200" s="3" t="s">
        <v>24</v>
      </c>
      <c r="G200" s="5" t="n">
        <v>3557.34</v>
      </c>
      <c r="H200" s="5" t="n">
        <f aca="false">ROUND(ABS(G200)-ABS(E200),2)</f>
        <v>0</v>
      </c>
      <c r="I200" s="3" t="s">
        <v>17</v>
      </c>
      <c r="J200" s="3" t="s">
        <v>214</v>
      </c>
      <c r="K200" s="3"/>
      <c r="L200" s="3" t="s">
        <v>215</v>
      </c>
      <c r="M200" s="3" t="s">
        <v>216</v>
      </c>
      <c r="N200" s="3"/>
    </row>
    <row r="201" customFormat="false" ht="23.25" hidden="false" customHeight="true" outlineLevel="0" collapsed="false">
      <c r="A201" s="3" t="s">
        <v>213</v>
      </c>
      <c r="B201" s="3" t="s">
        <v>213</v>
      </c>
      <c r="C201" s="4" t="s">
        <v>15</v>
      </c>
      <c r="D201" s="3" t="s">
        <v>25</v>
      </c>
      <c r="E201" s="5" t="n">
        <v>133.81</v>
      </c>
      <c r="F201" s="3" t="s">
        <v>25</v>
      </c>
      <c r="G201" s="5" t="n">
        <v>133.81</v>
      </c>
      <c r="H201" s="5" t="n">
        <f aca="false">ROUND(ABS(G201)-ABS(E201),2)</f>
        <v>0</v>
      </c>
      <c r="I201" s="3" t="s">
        <v>17</v>
      </c>
      <c r="J201" s="3" t="s">
        <v>214</v>
      </c>
      <c r="K201" s="3"/>
      <c r="L201" s="3" t="s">
        <v>215</v>
      </c>
      <c r="M201" s="3" t="s">
        <v>216</v>
      </c>
      <c r="N201" s="3"/>
    </row>
    <row r="202" customFormat="false" ht="23.25" hidden="false" customHeight="true" outlineLevel="0" collapsed="false">
      <c r="A202" s="3" t="s">
        <v>213</v>
      </c>
      <c r="B202" s="3" t="s">
        <v>213</v>
      </c>
      <c r="C202" s="4" t="s">
        <v>15</v>
      </c>
      <c r="D202" s="3" t="s">
        <v>26</v>
      </c>
      <c r="E202" s="5" t="n">
        <v>0</v>
      </c>
      <c r="F202" s="3" t="s">
        <v>26</v>
      </c>
      <c r="G202" s="5" t="n">
        <v>0</v>
      </c>
      <c r="H202" s="5" t="n">
        <f aca="false">ROUND(ABS(G202)-ABS(E202),2)</f>
        <v>0</v>
      </c>
      <c r="I202" s="3" t="s">
        <v>17</v>
      </c>
      <c r="J202" s="3" t="s">
        <v>214</v>
      </c>
      <c r="K202" s="3"/>
      <c r="L202" s="3" t="s">
        <v>215</v>
      </c>
      <c r="M202" s="3" t="s">
        <v>216</v>
      </c>
      <c r="N202" s="3" t="s">
        <v>27</v>
      </c>
    </row>
    <row r="203" customFormat="false" ht="23.25" hidden="false" customHeight="true" outlineLevel="0" collapsed="false">
      <c r="A203" s="3" t="s">
        <v>213</v>
      </c>
      <c r="B203" s="3" t="s">
        <v>213</v>
      </c>
      <c r="C203" s="6" t="s">
        <v>28</v>
      </c>
      <c r="D203" s="3" t="s">
        <v>29</v>
      </c>
      <c r="E203" s="5" t="n">
        <v>-981.16</v>
      </c>
      <c r="F203" s="3" t="s">
        <v>29</v>
      </c>
      <c r="G203" s="5" t="n">
        <v>-8611.65</v>
      </c>
      <c r="H203" s="5" t="n">
        <f aca="false">ROUND(ABS(G203)-ABS(E203),2)</f>
        <v>7630.49</v>
      </c>
      <c r="I203" s="3" t="s">
        <v>17</v>
      </c>
      <c r="J203" s="3" t="s">
        <v>214</v>
      </c>
      <c r="K203" s="3"/>
      <c r="L203" s="3" t="s">
        <v>215</v>
      </c>
      <c r="M203" s="3" t="s">
        <v>216</v>
      </c>
      <c r="N203" s="3" t="s">
        <v>30</v>
      </c>
    </row>
    <row r="204" customFormat="false" ht="34.5" hidden="false" customHeight="true" outlineLevel="0" collapsed="false">
      <c r="A204" s="3" t="s">
        <v>213</v>
      </c>
      <c r="B204" s="3" t="s">
        <v>213</v>
      </c>
      <c r="C204" s="6" t="s">
        <v>28</v>
      </c>
      <c r="D204" s="3" t="s">
        <v>16</v>
      </c>
      <c r="E204" s="5" t="n">
        <v>4200</v>
      </c>
      <c r="F204" s="3" t="s">
        <v>16</v>
      </c>
      <c r="G204" s="5" t="n">
        <v>3800</v>
      </c>
      <c r="H204" s="5" t="n">
        <f aca="false">ROUND(ABS(G204)-ABS(E204),2)</f>
        <v>-400</v>
      </c>
      <c r="I204" s="3" t="s">
        <v>217</v>
      </c>
      <c r="J204" s="3"/>
      <c r="K204" s="3"/>
      <c r="L204" s="3" t="s">
        <v>218</v>
      </c>
      <c r="M204" s="3" t="s">
        <v>219</v>
      </c>
      <c r="N204" s="3"/>
    </row>
    <row r="205" customFormat="false" ht="34.5" hidden="false" customHeight="true" outlineLevel="0" collapsed="false">
      <c r="A205" s="3" t="s">
        <v>213</v>
      </c>
      <c r="B205" s="3" t="s">
        <v>213</v>
      </c>
      <c r="C205" s="4" t="s">
        <v>15</v>
      </c>
      <c r="D205" s="3" t="s">
        <v>21</v>
      </c>
      <c r="E205" s="5" t="n">
        <v>853.61</v>
      </c>
      <c r="F205" s="3" t="s">
        <v>21</v>
      </c>
      <c r="G205" s="5" t="n">
        <v>853.61</v>
      </c>
      <c r="H205" s="5" t="n">
        <f aca="false">ROUND(ABS(G205)-ABS(E205),2)</f>
        <v>0</v>
      </c>
      <c r="I205" s="3" t="s">
        <v>217</v>
      </c>
      <c r="J205" s="3"/>
      <c r="K205" s="3"/>
      <c r="L205" s="3" t="s">
        <v>218</v>
      </c>
      <c r="M205" s="3" t="s">
        <v>220</v>
      </c>
      <c r="N205" s="3"/>
    </row>
    <row r="206" customFormat="false" ht="34.5" hidden="false" customHeight="true" outlineLevel="0" collapsed="false">
      <c r="A206" s="3" t="s">
        <v>213</v>
      </c>
      <c r="B206" s="3" t="s">
        <v>213</v>
      </c>
      <c r="C206" s="4" t="s">
        <v>15</v>
      </c>
      <c r="D206" s="3" t="s">
        <v>22</v>
      </c>
      <c r="E206" s="5" t="n">
        <v>50</v>
      </c>
      <c r="F206" s="3" t="s">
        <v>22</v>
      </c>
      <c r="G206" s="5" t="n">
        <v>50</v>
      </c>
      <c r="H206" s="5" t="n">
        <f aca="false">ROUND(ABS(G206)-ABS(E206),2)</f>
        <v>0</v>
      </c>
      <c r="I206" s="3" t="s">
        <v>217</v>
      </c>
      <c r="J206" s="3"/>
      <c r="K206" s="3"/>
      <c r="L206" s="3" t="s">
        <v>221</v>
      </c>
      <c r="M206" s="3" t="s">
        <v>222</v>
      </c>
      <c r="N206" s="3"/>
    </row>
    <row r="207" customFormat="false" ht="34.5" hidden="false" customHeight="true" outlineLevel="0" collapsed="false">
      <c r="A207" s="3" t="s">
        <v>213</v>
      </c>
      <c r="B207" s="3" t="s">
        <v>213</v>
      </c>
      <c r="C207" s="4" t="s">
        <v>15</v>
      </c>
      <c r="D207" s="3" t="s">
        <v>24</v>
      </c>
      <c r="E207" s="5" t="n">
        <v>3557.34</v>
      </c>
      <c r="F207" s="3" t="s">
        <v>24</v>
      </c>
      <c r="G207" s="5" t="n">
        <v>3557.34</v>
      </c>
      <c r="H207" s="5" t="n">
        <f aca="false">ROUND(ABS(G207)-ABS(E207),2)</f>
        <v>0</v>
      </c>
      <c r="I207" s="3" t="s">
        <v>217</v>
      </c>
      <c r="J207" s="3"/>
      <c r="K207" s="3"/>
      <c r="L207" s="3" t="s">
        <v>218</v>
      </c>
      <c r="M207" s="3" t="s">
        <v>223</v>
      </c>
      <c r="N207" s="3"/>
    </row>
    <row r="208" customFormat="false" ht="45.75" hidden="false" customHeight="true" outlineLevel="0" collapsed="false">
      <c r="A208" s="3" t="s">
        <v>213</v>
      </c>
      <c r="B208" s="3" t="s">
        <v>213</v>
      </c>
      <c r="C208" s="7" t="s">
        <v>37</v>
      </c>
      <c r="D208" s="3" t="s">
        <v>25</v>
      </c>
      <c r="E208" s="5" t="n">
        <v>100.56</v>
      </c>
      <c r="F208" s="3" t="s">
        <v>25</v>
      </c>
      <c r="G208" s="5" t="n">
        <v>133.81</v>
      </c>
      <c r="H208" s="5" t="n">
        <f aca="false">ROUND(ABS(G208)-ABS(E208),2)</f>
        <v>33.25</v>
      </c>
      <c r="I208" s="3" t="s">
        <v>217</v>
      </c>
      <c r="J208" s="3"/>
      <c r="K208" s="3"/>
      <c r="L208" s="3" t="s">
        <v>224</v>
      </c>
      <c r="M208" s="3" t="s">
        <v>225</v>
      </c>
      <c r="N208" s="3" t="s">
        <v>62</v>
      </c>
    </row>
    <row r="209" customFormat="false" ht="23.25" hidden="false" customHeight="true" outlineLevel="0" collapsed="false">
      <c r="A209" s="3" t="s">
        <v>213</v>
      </c>
      <c r="B209" s="3" t="s">
        <v>213</v>
      </c>
      <c r="C209" s="7" t="s">
        <v>37</v>
      </c>
      <c r="D209" s="3" t="s">
        <v>29</v>
      </c>
      <c r="E209" s="5" t="s">
        <v>37</v>
      </c>
      <c r="F209" s="3" t="s">
        <v>29</v>
      </c>
      <c r="G209" s="5" t="s">
        <v>37</v>
      </c>
      <c r="H209" s="5" t="s">
        <v>37</v>
      </c>
      <c r="I209" s="3" t="s">
        <v>217</v>
      </c>
      <c r="J209" s="3" t="s">
        <v>38</v>
      </c>
      <c r="K209" s="3"/>
      <c r="L209" s="3" t="s">
        <v>39</v>
      </c>
      <c r="M209" s="3"/>
      <c r="N209" s="3" t="s">
        <v>40</v>
      </c>
    </row>
    <row r="210" customFormat="false" ht="34.5" hidden="false" customHeight="true" outlineLevel="0" collapsed="false">
      <c r="A210" s="3" t="s">
        <v>213</v>
      </c>
      <c r="B210" s="3" t="s">
        <v>213</v>
      </c>
      <c r="C210" s="4" t="s">
        <v>15</v>
      </c>
      <c r="D210" s="3" t="s">
        <v>21</v>
      </c>
      <c r="E210" s="5" t="n">
        <v>586.4</v>
      </c>
      <c r="F210" s="3" t="s">
        <v>21</v>
      </c>
      <c r="G210" s="5" t="n">
        <v>586.4</v>
      </c>
      <c r="H210" s="5" t="n">
        <f aca="false">ROUND(ABS(G210)-ABS(E210),2)</f>
        <v>0</v>
      </c>
      <c r="I210" s="3" t="s">
        <v>226</v>
      </c>
      <c r="J210" s="3"/>
      <c r="K210" s="3"/>
      <c r="L210" s="3" t="s">
        <v>218</v>
      </c>
      <c r="M210" s="3" t="s">
        <v>227</v>
      </c>
      <c r="N210" s="3"/>
    </row>
    <row r="211" customFormat="false" ht="34.5" hidden="false" customHeight="true" outlineLevel="0" collapsed="false">
      <c r="A211" s="3" t="s">
        <v>213</v>
      </c>
      <c r="B211" s="3" t="s">
        <v>213</v>
      </c>
      <c r="C211" s="4" t="s">
        <v>15</v>
      </c>
      <c r="D211" s="3" t="s">
        <v>22</v>
      </c>
      <c r="E211" s="5" t="n">
        <v>15.25</v>
      </c>
      <c r="F211" s="3" t="s">
        <v>22</v>
      </c>
      <c r="G211" s="5" t="n">
        <v>15.25</v>
      </c>
      <c r="H211" s="5" t="n">
        <f aca="false">ROUND(ABS(G211)-ABS(E211),2)</f>
        <v>0</v>
      </c>
      <c r="I211" s="3" t="s">
        <v>226</v>
      </c>
      <c r="J211" s="3"/>
      <c r="K211" s="3"/>
      <c r="L211" s="3" t="s">
        <v>221</v>
      </c>
      <c r="M211" s="3" t="s">
        <v>228</v>
      </c>
      <c r="N211" s="3"/>
    </row>
    <row r="212" customFormat="false" ht="23.25" hidden="false" customHeight="true" outlineLevel="0" collapsed="false">
      <c r="A212" s="3" t="s">
        <v>213</v>
      </c>
      <c r="B212" s="3" t="s">
        <v>213</v>
      </c>
      <c r="C212" s="7" t="s">
        <v>37</v>
      </c>
      <c r="D212" s="3" t="s">
        <v>29</v>
      </c>
      <c r="E212" s="5" t="s">
        <v>37</v>
      </c>
      <c r="F212" s="3" t="s">
        <v>29</v>
      </c>
      <c r="G212" s="5" t="s">
        <v>37</v>
      </c>
      <c r="H212" s="5" t="s">
        <v>37</v>
      </c>
      <c r="I212" s="3" t="s">
        <v>226</v>
      </c>
      <c r="J212" s="3" t="s">
        <v>38</v>
      </c>
      <c r="K212" s="3"/>
      <c r="L212" s="3" t="s">
        <v>39</v>
      </c>
      <c r="M212" s="3"/>
      <c r="N212" s="3" t="s">
        <v>40</v>
      </c>
    </row>
    <row r="213" customFormat="false" ht="15" hidden="false" customHeight="true" outlineLevel="0" collapsed="false">
      <c r="A213" s="3" t="s">
        <v>213</v>
      </c>
      <c r="B213" s="3" t="s">
        <v>213</v>
      </c>
      <c r="C213" s="7" t="s">
        <v>37</v>
      </c>
      <c r="D213" s="3" t="s">
        <v>25</v>
      </c>
      <c r="E213" s="5" t="n">
        <v>33.25</v>
      </c>
      <c r="F213" s="3" t="s">
        <v>25</v>
      </c>
      <c r="G213" s="5" t="s">
        <v>37</v>
      </c>
      <c r="H213" s="5" t="s">
        <v>37</v>
      </c>
      <c r="I213" s="3" t="s">
        <v>70</v>
      </c>
      <c r="J213" s="3" t="s">
        <v>71</v>
      </c>
      <c r="K213" s="3"/>
      <c r="L213" s="3" t="s">
        <v>72</v>
      </c>
      <c r="M213" s="3"/>
      <c r="N213" s="3" t="s">
        <v>73</v>
      </c>
    </row>
    <row r="214" customFormat="false" ht="75.75" hidden="false" customHeight="true" outlineLevel="0" collapsed="false">
      <c r="A214" s="8" t="s">
        <v>213</v>
      </c>
      <c r="B214" s="8" t="s">
        <v>213</v>
      </c>
      <c r="C214" s="8" t="s">
        <v>28</v>
      </c>
      <c r="D214" s="8" t="s">
        <v>47</v>
      </c>
      <c r="E214" s="8" t="s">
        <v>229</v>
      </c>
      <c r="F214" s="8" t="s">
        <v>47</v>
      </c>
      <c r="G214" s="8" t="s">
        <v>214</v>
      </c>
      <c r="H214" s="8"/>
      <c r="I214" s="8" t="s">
        <v>49</v>
      </c>
      <c r="J214" s="8" t="s">
        <v>214</v>
      </c>
      <c r="K214" s="8"/>
      <c r="L214" s="8" t="s">
        <v>215</v>
      </c>
      <c r="M214" s="8" t="s">
        <v>216</v>
      </c>
      <c r="N214" s="8" t="s">
        <v>230</v>
      </c>
    </row>
    <row r="215" customFormat="false" ht="23.25" hidden="false" customHeight="true" outlineLevel="0" collapsed="false">
      <c r="A215" s="3" t="s">
        <v>231</v>
      </c>
      <c r="B215" s="3" t="s">
        <v>231</v>
      </c>
      <c r="C215" s="4" t="s">
        <v>15</v>
      </c>
      <c r="D215" s="3" t="s">
        <v>16</v>
      </c>
      <c r="E215" s="5" t="n">
        <v>6500</v>
      </c>
      <c r="F215" s="3" t="s">
        <v>16</v>
      </c>
      <c r="G215" s="5" t="n">
        <v>6500</v>
      </c>
      <c r="H215" s="5" t="n">
        <f aca="false">ROUND(ABS(G215)-ABS(E215),2)</f>
        <v>0</v>
      </c>
      <c r="I215" s="3" t="s">
        <v>17</v>
      </c>
      <c r="J215" s="3" t="s">
        <v>18</v>
      </c>
      <c r="K215" s="3"/>
      <c r="L215" s="3" t="s">
        <v>232</v>
      </c>
      <c r="M215" s="3" t="s">
        <v>233</v>
      </c>
      <c r="N215" s="3"/>
    </row>
    <row r="216" customFormat="false" ht="23.25" hidden="false" customHeight="true" outlineLevel="0" collapsed="false">
      <c r="A216" s="3" t="s">
        <v>231</v>
      </c>
      <c r="B216" s="3" t="s">
        <v>231</v>
      </c>
      <c r="C216" s="4" t="s">
        <v>15</v>
      </c>
      <c r="D216" s="3" t="s">
        <v>21</v>
      </c>
      <c r="E216" s="5" t="n">
        <v>1420.66</v>
      </c>
      <c r="F216" s="3" t="s">
        <v>21</v>
      </c>
      <c r="G216" s="5" t="n">
        <v>1420.66</v>
      </c>
      <c r="H216" s="5" t="n">
        <f aca="false">ROUND(ABS(G216)-ABS(E216),2)</f>
        <v>0</v>
      </c>
      <c r="I216" s="3" t="s">
        <v>17</v>
      </c>
      <c r="J216" s="3" t="s">
        <v>18</v>
      </c>
      <c r="K216" s="3"/>
      <c r="L216" s="3" t="s">
        <v>232</v>
      </c>
      <c r="M216" s="3" t="s">
        <v>233</v>
      </c>
      <c r="N216" s="3"/>
    </row>
    <row r="217" customFormat="false" ht="23.25" hidden="false" customHeight="true" outlineLevel="0" collapsed="false">
      <c r="A217" s="3" t="s">
        <v>231</v>
      </c>
      <c r="B217" s="3" t="s">
        <v>231</v>
      </c>
      <c r="C217" s="4" t="s">
        <v>15</v>
      </c>
      <c r="D217" s="3" t="s">
        <v>22</v>
      </c>
      <c r="E217" s="5" t="n">
        <v>27</v>
      </c>
      <c r="F217" s="3" t="s">
        <v>22</v>
      </c>
      <c r="G217" s="5" t="n">
        <v>27</v>
      </c>
      <c r="H217" s="5" t="n">
        <f aca="false">ROUND(ABS(G217)-ABS(E217),2)</f>
        <v>0</v>
      </c>
      <c r="I217" s="3" t="s">
        <v>17</v>
      </c>
      <c r="J217" s="3" t="s">
        <v>18</v>
      </c>
      <c r="K217" s="3"/>
      <c r="L217" s="3" t="s">
        <v>232</v>
      </c>
      <c r="M217" s="3" t="s">
        <v>233</v>
      </c>
      <c r="N217" s="3" t="s">
        <v>23</v>
      </c>
    </row>
    <row r="218" customFormat="false" ht="23.25" hidden="false" customHeight="true" outlineLevel="0" collapsed="false">
      <c r="A218" s="3" t="s">
        <v>231</v>
      </c>
      <c r="B218" s="3" t="s">
        <v>231</v>
      </c>
      <c r="C218" s="4" t="s">
        <v>15</v>
      </c>
      <c r="D218" s="3" t="s">
        <v>24</v>
      </c>
      <c r="E218" s="5" t="n">
        <v>3299.57</v>
      </c>
      <c r="F218" s="3" t="s">
        <v>24</v>
      </c>
      <c r="G218" s="5" t="n">
        <v>3299.57</v>
      </c>
      <c r="H218" s="5" t="n">
        <f aca="false">ROUND(ABS(G218)-ABS(E218),2)</f>
        <v>0</v>
      </c>
      <c r="I218" s="3" t="s">
        <v>17</v>
      </c>
      <c r="J218" s="3" t="s">
        <v>18</v>
      </c>
      <c r="K218" s="3"/>
      <c r="L218" s="3" t="s">
        <v>232</v>
      </c>
      <c r="M218" s="3" t="s">
        <v>233</v>
      </c>
      <c r="N218" s="3"/>
    </row>
    <row r="219" customFormat="false" ht="23.25" hidden="false" customHeight="true" outlineLevel="0" collapsed="false">
      <c r="A219" s="3" t="s">
        <v>231</v>
      </c>
      <c r="B219" s="3" t="s">
        <v>231</v>
      </c>
      <c r="C219" s="4" t="s">
        <v>15</v>
      </c>
      <c r="D219" s="3" t="s">
        <v>25</v>
      </c>
      <c r="E219" s="5" t="n">
        <v>142.76</v>
      </c>
      <c r="F219" s="3" t="s">
        <v>25</v>
      </c>
      <c r="G219" s="5" t="n">
        <v>142.76</v>
      </c>
      <c r="H219" s="5" t="n">
        <f aca="false">ROUND(ABS(G219)-ABS(E219),2)</f>
        <v>0</v>
      </c>
      <c r="I219" s="3" t="s">
        <v>17</v>
      </c>
      <c r="J219" s="3" t="s">
        <v>18</v>
      </c>
      <c r="K219" s="3"/>
      <c r="L219" s="3" t="s">
        <v>232</v>
      </c>
      <c r="M219" s="3" t="s">
        <v>233</v>
      </c>
      <c r="N219" s="3"/>
    </row>
    <row r="220" customFormat="false" ht="23.25" hidden="false" customHeight="true" outlineLevel="0" collapsed="false">
      <c r="A220" s="3" t="s">
        <v>231</v>
      </c>
      <c r="B220" s="3" t="s">
        <v>231</v>
      </c>
      <c r="C220" s="4" t="s">
        <v>15</v>
      </c>
      <c r="D220" s="3" t="s">
        <v>26</v>
      </c>
      <c r="E220" s="5" t="n">
        <v>0</v>
      </c>
      <c r="F220" s="3" t="s">
        <v>26</v>
      </c>
      <c r="G220" s="5" t="n">
        <v>0</v>
      </c>
      <c r="H220" s="5" t="n">
        <f aca="false">ROUND(ABS(G220)-ABS(E220),2)</f>
        <v>0</v>
      </c>
      <c r="I220" s="3" t="s">
        <v>17</v>
      </c>
      <c r="J220" s="3" t="s">
        <v>18</v>
      </c>
      <c r="K220" s="3"/>
      <c r="L220" s="3" t="s">
        <v>232</v>
      </c>
      <c r="M220" s="3" t="s">
        <v>233</v>
      </c>
      <c r="N220" s="3" t="s">
        <v>27</v>
      </c>
    </row>
    <row r="221" customFormat="false" ht="23.25" hidden="false" customHeight="true" outlineLevel="0" collapsed="false">
      <c r="A221" s="3" t="s">
        <v>231</v>
      </c>
      <c r="B221" s="3" t="s">
        <v>231</v>
      </c>
      <c r="C221" s="6" t="s">
        <v>28</v>
      </c>
      <c r="D221" s="3" t="s">
        <v>29</v>
      </c>
      <c r="E221" s="5" t="n">
        <v>1610.01</v>
      </c>
      <c r="F221" s="3" t="s">
        <v>29</v>
      </c>
      <c r="G221" s="5" t="n">
        <v>-4460.58</v>
      </c>
      <c r="H221" s="5" t="n">
        <f aca="false">ROUND(ABS(G221)-ABS(E221),2)</f>
        <v>2850.57</v>
      </c>
      <c r="I221" s="3" t="s">
        <v>17</v>
      </c>
      <c r="J221" s="3" t="s">
        <v>18</v>
      </c>
      <c r="K221" s="3"/>
      <c r="L221" s="3" t="s">
        <v>232</v>
      </c>
      <c r="M221" s="3" t="s">
        <v>233</v>
      </c>
      <c r="N221" s="3" t="s">
        <v>30</v>
      </c>
    </row>
    <row r="222" customFormat="false" ht="34.5" hidden="false" customHeight="true" outlineLevel="0" collapsed="false">
      <c r="A222" s="3" t="s">
        <v>231</v>
      </c>
      <c r="B222" s="3" t="s">
        <v>231</v>
      </c>
      <c r="C222" s="4" t="s">
        <v>15</v>
      </c>
      <c r="D222" s="3" t="s">
        <v>16</v>
      </c>
      <c r="E222" s="5" t="n">
        <v>3500</v>
      </c>
      <c r="F222" s="3" t="s">
        <v>16</v>
      </c>
      <c r="G222" s="5" t="n">
        <v>3500</v>
      </c>
      <c r="H222" s="5" t="n">
        <f aca="false">ROUND(ABS(G222)-ABS(E222),2)</f>
        <v>0</v>
      </c>
      <c r="I222" s="3" t="s">
        <v>234</v>
      </c>
      <c r="J222" s="3"/>
      <c r="K222" s="3"/>
      <c r="L222" s="3" t="s">
        <v>235</v>
      </c>
      <c r="M222" s="3" t="s">
        <v>236</v>
      </c>
      <c r="N222" s="3"/>
    </row>
    <row r="223" customFormat="false" ht="34.5" hidden="false" customHeight="true" outlineLevel="0" collapsed="false">
      <c r="A223" s="3" t="s">
        <v>231</v>
      </c>
      <c r="B223" s="3" t="s">
        <v>231</v>
      </c>
      <c r="C223" s="4" t="s">
        <v>15</v>
      </c>
      <c r="D223" s="3" t="s">
        <v>21</v>
      </c>
      <c r="E223" s="5" t="n">
        <v>724.51</v>
      </c>
      <c r="F223" s="3" t="s">
        <v>21</v>
      </c>
      <c r="G223" s="5" t="n">
        <v>724.51</v>
      </c>
      <c r="H223" s="5" t="n">
        <f aca="false">ROUND(ABS(G223)-ABS(E223),2)</f>
        <v>0</v>
      </c>
      <c r="I223" s="3" t="s">
        <v>234</v>
      </c>
      <c r="J223" s="3"/>
      <c r="K223" s="3"/>
      <c r="L223" s="3" t="s">
        <v>235</v>
      </c>
      <c r="M223" s="3" t="s">
        <v>237</v>
      </c>
      <c r="N223" s="3"/>
    </row>
    <row r="224" customFormat="false" ht="34.5" hidden="false" customHeight="true" outlineLevel="0" collapsed="false">
      <c r="A224" s="3" t="s">
        <v>231</v>
      </c>
      <c r="B224" s="3" t="s">
        <v>231</v>
      </c>
      <c r="C224" s="4" t="s">
        <v>15</v>
      </c>
      <c r="D224" s="3" t="s">
        <v>22</v>
      </c>
      <c r="E224" s="5" t="n">
        <v>27</v>
      </c>
      <c r="F224" s="3" t="s">
        <v>22</v>
      </c>
      <c r="G224" s="5" t="n">
        <v>27</v>
      </c>
      <c r="H224" s="5" t="n">
        <f aca="false">ROUND(ABS(G224)-ABS(E224),2)</f>
        <v>0</v>
      </c>
      <c r="I224" s="3" t="s">
        <v>234</v>
      </c>
      <c r="J224" s="3"/>
      <c r="K224" s="3"/>
      <c r="L224" s="3" t="s">
        <v>238</v>
      </c>
      <c r="M224" s="3" t="s">
        <v>239</v>
      </c>
      <c r="N224" s="3"/>
    </row>
    <row r="225" customFormat="false" ht="34.5" hidden="false" customHeight="true" outlineLevel="0" collapsed="false">
      <c r="A225" s="3" t="s">
        <v>231</v>
      </c>
      <c r="B225" s="3" t="s">
        <v>231</v>
      </c>
      <c r="C225" s="4" t="s">
        <v>15</v>
      </c>
      <c r="D225" s="3" t="s">
        <v>24</v>
      </c>
      <c r="E225" s="5" t="n">
        <v>1418.42</v>
      </c>
      <c r="F225" s="3" t="s">
        <v>24</v>
      </c>
      <c r="G225" s="5" t="n">
        <v>1418.42</v>
      </c>
      <c r="H225" s="5" t="n">
        <f aca="false">ROUND(ABS(G225)-ABS(E225),2)</f>
        <v>0</v>
      </c>
      <c r="I225" s="3" t="s">
        <v>234</v>
      </c>
      <c r="J225" s="3"/>
      <c r="K225" s="3"/>
      <c r="L225" s="3" t="s">
        <v>235</v>
      </c>
      <c r="M225" s="3" t="s">
        <v>240</v>
      </c>
      <c r="N225" s="3"/>
    </row>
    <row r="226" customFormat="false" ht="34.5" hidden="false" customHeight="true" outlineLevel="0" collapsed="false">
      <c r="A226" s="3" t="s">
        <v>231</v>
      </c>
      <c r="B226" s="3" t="s">
        <v>231</v>
      </c>
      <c r="C226" s="7" t="s">
        <v>37</v>
      </c>
      <c r="D226" s="3" t="s">
        <v>25</v>
      </c>
      <c r="E226" s="5" t="n">
        <v>48.64</v>
      </c>
      <c r="F226" s="3" t="s">
        <v>25</v>
      </c>
      <c r="G226" s="5" t="n">
        <v>127.51</v>
      </c>
      <c r="H226" s="5" t="n">
        <f aca="false">ROUND(ABS(G226)-ABS(E226),2)</f>
        <v>78.87</v>
      </c>
      <c r="I226" s="3" t="s">
        <v>234</v>
      </c>
      <c r="J226" s="3"/>
      <c r="K226" s="3"/>
      <c r="L226" s="3" t="s">
        <v>241</v>
      </c>
      <c r="M226" s="3" t="s">
        <v>242</v>
      </c>
      <c r="N226" s="3" t="s">
        <v>62</v>
      </c>
    </row>
    <row r="227" customFormat="false" ht="23.25" hidden="false" customHeight="true" outlineLevel="0" collapsed="false">
      <c r="A227" s="3" t="s">
        <v>231</v>
      </c>
      <c r="B227" s="3" t="s">
        <v>231</v>
      </c>
      <c r="C227" s="7" t="s">
        <v>37</v>
      </c>
      <c r="D227" s="3" t="s">
        <v>29</v>
      </c>
      <c r="E227" s="5" t="s">
        <v>37</v>
      </c>
      <c r="F227" s="3" t="s">
        <v>29</v>
      </c>
      <c r="G227" s="5" t="s">
        <v>37</v>
      </c>
      <c r="H227" s="5" t="s">
        <v>37</v>
      </c>
      <c r="I227" s="3" t="s">
        <v>234</v>
      </c>
      <c r="J227" s="3" t="s">
        <v>38</v>
      </c>
      <c r="K227" s="3"/>
      <c r="L227" s="3" t="s">
        <v>39</v>
      </c>
      <c r="M227" s="3"/>
      <c r="N227" s="3" t="s">
        <v>40</v>
      </c>
    </row>
    <row r="228" customFormat="false" ht="34.5" hidden="false" customHeight="true" outlineLevel="0" collapsed="false">
      <c r="A228" s="3" t="s">
        <v>231</v>
      </c>
      <c r="B228" s="3" t="s">
        <v>231</v>
      </c>
      <c r="C228" s="4" t="s">
        <v>15</v>
      </c>
      <c r="D228" s="3" t="s">
        <v>16</v>
      </c>
      <c r="E228" s="5" t="n">
        <v>3000</v>
      </c>
      <c r="F228" s="3" t="s">
        <v>16</v>
      </c>
      <c r="G228" s="5" t="n">
        <v>3000</v>
      </c>
      <c r="H228" s="5" t="n">
        <f aca="false">ROUND(ABS(G228)-ABS(E228),2)</f>
        <v>0</v>
      </c>
      <c r="I228" s="3" t="s">
        <v>243</v>
      </c>
      <c r="J228" s="3"/>
      <c r="K228" s="3"/>
      <c r="L228" s="3" t="s">
        <v>235</v>
      </c>
      <c r="M228" s="3" t="s">
        <v>244</v>
      </c>
      <c r="N228" s="3"/>
    </row>
    <row r="229" customFormat="false" ht="34.5" hidden="false" customHeight="true" outlineLevel="0" collapsed="false">
      <c r="A229" s="3" t="s">
        <v>231</v>
      </c>
      <c r="B229" s="3" t="s">
        <v>231</v>
      </c>
      <c r="C229" s="4" t="s">
        <v>15</v>
      </c>
      <c r="D229" s="3" t="s">
        <v>21</v>
      </c>
      <c r="E229" s="5" t="n">
        <v>696.15</v>
      </c>
      <c r="F229" s="3" t="s">
        <v>21</v>
      </c>
      <c r="G229" s="5" t="n">
        <v>696.15</v>
      </c>
      <c r="H229" s="5" t="n">
        <f aca="false">ROUND(ABS(G229)-ABS(E229),2)</f>
        <v>0</v>
      </c>
      <c r="I229" s="3" t="s">
        <v>243</v>
      </c>
      <c r="J229" s="3"/>
      <c r="K229" s="3"/>
      <c r="L229" s="3" t="s">
        <v>235</v>
      </c>
      <c r="M229" s="3" t="s">
        <v>245</v>
      </c>
      <c r="N229" s="3"/>
    </row>
    <row r="230" customFormat="false" ht="34.5" hidden="false" customHeight="true" outlineLevel="0" collapsed="false">
      <c r="A230" s="3" t="s">
        <v>231</v>
      </c>
      <c r="B230" s="3" t="s">
        <v>231</v>
      </c>
      <c r="C230" s="4" t="s">
        <v>15</v>
      </c>
      <c r="D230" s="3" t="s">
        <v>24</v>
      </c>
      <c r="E230" s="5" t="n">
        <v>1881.15</v>
      </c>
      <c r="F230" s="3" t="s">
        <v>24</v>
      </c>
      <c r="G230" s="5" t="n">
        <v>1881.15</v>
      </c>
      <c r="H230" s="5" t="n">
        <f aca="false">ROUND(ABS(G230)-ABS(E230),2)</f>
        <v>0</v>
      </c>
      <c r="I230" s="3" t="s">
        <v>243</v>
      </c>
      <c r="J230" s="3"/>
      <c r="K230" s="3"/>
      <c r="L230" s="3" t="s">
        <v>235</v>
      </c>
      <c r="M230" s="3" t="s">
        <v>246</v>
      </c>
      <c r="N230" s="3"/>
    </row>
    <row r="231" customFormat="false" ht="34.5" hidden="false" customHeight="true" outlineLevel="0" collapsed="false">
      <c r="A231" s="3" t="s">
        <v>231</v>
      </c>
      <c r="B231" s="3" t="s">
        <v>231</v>
      </c>
      <c r="C231" s="6" t="s">
        <v>28</v>
      </c>
      <c r="D231" s="3" t="s">
        <v>25</v>
      </c>
      <c r="E231" s="5" t="n">
        <v>78.87</v>
      </c>
      <c r="F231" s="3" t="s">
        <v>25</v>
      </c>
      <c r="G231" s="5" t="n">
        <v>15.25</v>
      </c>
      <c r="H231" s="5" t="n">
        <f aca="false">ROUND(ABS(G231)-ABS(E231),2)</f>
        <v>-63.62</v>
      </c>
      <c r="I231" s="3" t="s">
        <v>243</v>
      </c>
      <c r="J231" s="3" t="s">
        <v>45</v>
      </c>
      <c r="K231" s="3"/>
      <c r="L231" s="3" t="s">
        <v>241</v>
      </c>
      <c r="M231" s="3" t="s">
        <v>247</v>
      </c>
      <c r="N231" s="3" t="s">
        <v>62</v>
      </c>
    </row>
    <row r="232" customFormat="false" ht="23.25" hidden="false" customHeight="true" outlineLevel="0" collapsed="false">
      <c r="A232" s="3" t="s">
        <v>231</v>
      </c>
      <c r="B232" s="3" t="s">
        <v>231</v>
      </c>
      <c r="C232" s="7" t="s">
        <v>37</v>
      </c>
      <c r="D232" s="3" t="s">
        <v>29</v>
      </c>
      <c r="E232" s="5" t="s">
        <v>37</v>
      </c>
      <c r="F232" s="3" t="s">
        <v>29</v>
      </c>
      <c r="G232" s="5" t="s">
        <v>37</v>
      </c>
      <c r="H232" s="5" t="s">
        <v>37</v>
      </c>
      <c r="I232" s="3" t="s">
        <v>243</v>
      </c>
      <c r="J232" s="3" t="s">
        <v>38</v>
      </c>
      <c r="K232" s="3"/>
      <c r="L232" s="3" t="s">
        <v>39</v>
      </c>
      <c r="M232" s="3"/>
      <c r="N232" s="3" t="s">
        <v>40</v>
      </c>
    </row>
    <row r="233" customFormat="false" ht="15" hidden="false" customHeight="true" outlineLevel="0" collapsed="false">
      <c r="A233" s="3" t="s">
        <v>231</v>
      </c>
      <c r="B233" s="3" t="s">
        <v>231</v>
      </c>
      <c r="C233" s="7" t="s">
        <v>37</v>
      </c>
      <c r="D233" s="3" t="s">
        <v>25</v>
      </c>
      <c r="E233" s="5" t="n">
        <v>15.25</v>
      </c>
      <c r="F233" s="3" t="s">
        <v>25</v>
      </c>
      <c r="G233" s="5" t="s">
        <v>37</v>
      </c>
      <c r="H233" s="5" t="s">
        <v>37</v>
      </c>
      <c r="I233" s="3" t="s">
        <v>70</v>
      </c>
      <c r="J233" s="3" t="s">
        <v>71</v>
      </c>
      <c r="K233" s="3"/>
      <c r="L233" s="3" t="s">
        <v>72</v>
      </c>
      <c r="M233" s="3"/>
      <c r="N233" s="3" t="s">
        <v>73</v>
      </c>
    </row>
    <row r="234" customFormat="false" ht="75.75" hidden="false" customHeight="true" outlineLevel="0" collapsed="false">
      <c r="A234" s="8" t="s">
        <v>231</v>
      </c>
      <c r="B234" s="8" t="s">
        <v>231</v>
      </c>
      <c r="C234" s="8" t="s">
        <v>28</v>
      </c>
      <c r="D234" s="8" t="s">
        <v>47</v>
      </c>
      <c r="E234" s="8" t="s">
        <v>248</v>
      </c>
      <c r="F234" s="8" t="s">
        <v>47</v>
      </c>
      <c r="G234" s="8" t="s">
        <v>18</v>
      </c>
      <c r="H234" s="8"/>
      <c r="I234" s="8" t="s">
        <v>49</v>
      </c>
      <c r="J234" s="8" t="s">
        <v>18</v>
      </c>
      <c r="K234" s="8"/>
      <c r="L234" s="8" t="s">
        <v>232</v>
      </c>
      <c r="M234" s="8" t="s">
        <v>233</v>
      </c>
      <c r="N234" s="8" t="s">
        <v>50</v>
      </c>
    </row>
    <row r="235" customFormat="false" ht="23.25" hidden="false" customHeight="true" outlineLevel="0" collapsed="false">
      <c r="A235" s="3" t="s">
        <v>249</v>
      </c>
      <c r="B235" s="3" t="s">
        <v>249</v>
      </c>
      <c r="C235" s="4" t="s">
        <v>15</v>
      </c>
      <c r="D235" s="3" t="s">
        <v>16</v>
      </c>
      <c r="E235" s="5" t="n">
        <v>1000</v>
      </c>
      <c r="F235" s="3" t="s">
        <v>16</v>
      </c>
      <c r="G235" s="5" t="n">
        <v>1000</v>
      </c>
      <c r="H235" s="5" t="n">
        <f aca="false">ROUND(ABS(G235)-ABS(E235),2)</f>
        <v>0</v>
      </c>
      <c r="I235" s="3" t="s">
        <v>17</v>
      </c>
      <c r="J235" s="3" t="s">
        <v>121</v>
      </c>
      <c r="K235" s="3" t="s">
        <v>250</v>
      </c>
      <c r="L235" s="3" t="s">
        <v>251</v>
      </c>
      <c r="M235" s="3" t="s">
        <v>252</v>
      </c>
      <c r="N235" s="3"/>
    </row>
    <row r="236" customFormat="false" ht="23.25" hidden="false" customHeight="true" outlineLevel="0" collapsed="false">
      <c r="A236" s="3" t="s">
        <v>249</v>
      </c>
      <c r="B236" s="3" t="s">
        <v>249</v>
      </c>
      <c r="C236" s="6" t="s">
        <v>28</v>
      </c>
      <c r="D236" s="3" t="s">
        <v>21</v>
      </c>
      <c r="E236" s="5" t="n">
        <v>0</v>
      </c>
      <c r="F236" s="3" t="s">
        <v>21</v>
      </c>
      <c r="G236" s="5" t="n">
        <v>300</v>
      </c>
      <c r="H236" s="5" t="n">
        <f aca="false">ROUND(ABS(G236)-ABS(E236),2)</f>
        <v>300</v>
      </c>
      <c r="I236" s="3" t="s">
        <v>17</v>
      </c>
      <c r="J236" s="3" t="s">
        <v>121</v>
      </c>
      <c r="K236" s="3" t="s">
        <v>250</v>
      </c>
      <c r="L236" s="3" t="s">
        <v>251</v>
      </c>
      <c r="M236" s="3" t="s">
        <v>252</v>
      </c>
      <c r="N236" s="3"/>
    </row>
    <row r="237" customFormat="false" ht="23.25" hidden="false" customHeight="true" outlineLevel="0" collapsed="false">
      <c r="A237" s="3" t="s">
        <v>249</v>
      </c>
      <c r="B237" s="3" t="s">
        <v>249</v>
      </c>
      <c r="C237" s="4" t="s">
        <v>15</v>
      </c>
      <c r="D237" s="3" t="s">
        <v>22</v>
      </c>
      <c r="E237" s="5" t="n">
        <v>0</v>
      </c>
      <c r="F237" s="3" t="s">
        <v>22</v>
      </c>
      <c r="G237" s="5" t="n">
        <v>0</v>
      </c>
      <c r="H237" s="5" t="n">
        <f aca="false">ROUND(ABS(G237)-ABS(E237),2)</f>
        <v>0</v>
      </c>
      <c r="I237" s="3" t="s">
        <v>17</v>
      </c>
      <c r="J237" s="3" t="s">
        <v>121</v>
      </c>
      <c r="K237" s="3" t="s">
        <v>250</v>
      </c>
      <c r="L237" s="3" t="s">
        <v>251</v>
      </c>
      <c r="M237" s="3" t="s">
        <v>252</v>
      </c>
      <c r="N237" s="3" t="s">
        <v>23</v>
      </c>
    </row>
    <row r="238" customFormat="false" ht="23.25" hidden="false" customHeight="true" outlineLevel="0" collapsed="false">
      <c r="A238" s="3" t="s">
        <v>249</v>
      </c>
      <c r="B238" s="3" t="s">
        <v>249</v>
      </c>
      <c r="C238" s="4" t="s">
        <v>15</v>
      </c>
      <c r="D238" s="3" t="s">
        <v>24</v>
      </c>
      <c r="E238" s="5" t="n">
        <v>843.76</v>
      </c>
      <c r="F238" s="3" t="s">
        <v>24</v>
      </c>
      <c r="G238" s="5" t="n">
        <v>843.76</v>
      </c>
      <c r="H238" s="5" t="n">
        <f aca="false">ROUND(ABS(G238)-ABS(E238),2)</f>
        <v>0</v>
      </c>
      <c r="I238" s="3" t="s">
        <v>17</v>
      </c>
      <c r="J238" s="3" t="s">
        <v>121</v>
      </c>
      <c r="K238" s="3" t="s">
        <v>250</v>
      </c>
      <c r="L238" s="3" t="s">
        <v>251</v>
      </c>
      <c r="M238" s="3" t="s">
        <v>252</v>
      </c>
      <c r="N238" s="3"/>
    </row>
    <row r="239" customFormat="false" ht="23.25" hidden="false" customHeight="true" outlineLevel="0" collapsed="false">
      <c r="A239" s="3" t="s">
        <v>249</v>
      </c>
      <c r="B239" s="3" t="s">
        <v>249</v>
      </c>
      <c r="C239" s="4" t="s">
        <v>15</v>
      </c>
      <c r="D239" s="3" t="s">
        <v>25</v>
      </c>
      <c r="E239" s="5" t="n">
        <v>220.71</v>
      </c>
      <c r="F239" s="3" t="s">
        <v>25</v>
      </c>
      <c r="G239" s="5" t="n">
        <v>220.71</v>
      </c>
      <c r="H239" s="5" t="n">
        <f aca="false">ROUND(ABS(G239)-ABS(E239),2)</f>
        <v>0</v>
      </c>
      <c r="I239" s="3" t="s">
        <v>17</v>
      </c>
      <c r="J239" s="3" t="s">
        <v>121</v>
      </c>
      <c r="K239" s="3" t="s">
        <v>250</v>
      </c>
      <c r="L239" s="3" t="s">
        <v>251</v>
      </c>
      <c r="M239" s="3" t="s">
        <v>252</v>
      </c>
      <c r="N239" s="3"/>
    </row>
    <row r="240" customFormat="false" ht="23.25" hidden="false" customHeight="true" outlineLevel="0" collapsed="false">
      <c r="A240" s="3" t="s">
        <v>249</v>
      </c>
      <c r="B240" s="3" t="s">
        <v>249</v>
      </c>
      <c r="C240" s="4" t="s">
        <v>15</v>
      </c>
      <c r="D240" s="3" t="s">
        <v>26</v>
      </c>
      <c r="E240" s="5" t="n">
        <v>0</v>
      </c>
      <c r="F240" s="3" t="s">
        <v>26</v>
      </c>
      <c r="G240" s="5" t="n">
        <v>0</v>
      </c>
      <c r="H240" s="5" t="n">
        <f aca="false">ROUND(ABS(G240)-ABS(E240),2)</f>
        <v>0</v>
      </c>
      <c r="I240" s="3" t="s">
        <v>17</v>
      </c>
      <c r="J240" s="3" t="s">
        <v>121</v>
      </c>
      <c r="K240" s="3" t="s">
        <v>250</v>
      </c>
      <c r="L240" s="3" t="s">
        <v>251</v>
      </c>
      <c r="M240" s="3" t="s">
        <v>252</v>
      </c>
      <c r="N240" s="3" t="s">
        <v>27</v>
      </c>
    </row>
    <row r="241" customFormat="false" ht="23.25" hidden="false" customHeight="true" outlineLevel="0" collapsed="false">
      <c r="A241" s="3" t="s">
        <v>249</v>
      </c>
      <c r="B241" s="3" t="s">
        <v>249</v>
      </c>
      <c r="C241" s="6" t="s">
        <v>28</v>
      </c>
      <c r="D241" s="3" t="s">
        <v>29</v>
      </c>
      <c r="E241" s="5" t="n">
        <v>1098.03</v>
      </c>
      <c r="F241" s="3" t="s">
        <v>29</v>
      </c>
      <c r="G241" s="5" t="n">
        <v>-364.47</v>
      </c>
      <c r="H241" s="5" t="n">
        <f aca="false">ROUND(ABS(G241)-ABS(E241),2)</f>
        <v>-733.56</v>
      </c>
      <c r="I241" s="3" t="s">
        <v>17</v>
      </c>
      <c r="J241" s="3" t="s">
        <v>121</v>
      </c>
      <c r="K241" s="3" t="s">
        <v>250</v>
      </c>
      <c r="L241" s="3" t="s">
        <v>251</v>
      </c>
      <c r="M241" s="3" t="s">
        <v>252</v>
      </c>
      <c r="N241" s="3" t="s">
        <v>30</v>
      </c>
    </row>
    <row r="242" customFormat="false" ht="23.25" hidden="false" customHeight="true" outlineLevel="0" collapsed="false">
      <c r="A242" s="3" t="s">
        <v>249</v>
      </c>
      <c r="B242" s="3" t="s">
        <v>249</v>
      </c>
      <c r="C242" s="7" t="s">
        <v>37</v>
      </c>
      <c r="D242" s="3" t="s">
        <v>16</v>
      </c>
      <c r="E242" s="5" t="n">
        <v>1500</v>
      </c>
      <c r="F242" s="3" t="s">
        <v>16</v>
      </c>
      <c r="G242" s="5" t="s">
        <v>37</v>
      </c>
      <c r="H242" s="5" t="s">
        <v>37</v>
      </c>
      <c r="I242" s="3" t="s">
        <v>250</v>
      </c>
      <c r="J242" s="3" t="s">
        <v>125</v>
      </c>
      <c r="K242" s="3" t="s">
        <v>250</v>
      </c>
      <c r="L242" s="3" t="s">
        <v>251</v>
      </c>
      <c r="M242" s="3"/>
      <c r="N242" s="3" t="s">
        <v>126</v>
      </c>
    </row>
    <row r="243" customFormat="false" ht="23.25" hidden="false" customHeight="true" outlineLevel="0" collapsed="false">
      <c r="A243" s="3" t="s">
        <v>249</v>
      </c>
      <c r="B243" s="3" t="s">
        <v>249</v>
      </c>
      <c r="C243" s="7" t="s">
        <v>37</v>
      </c>
      <c r="D243" s="3" t="s">
        <v>24</v>
      </c>
      <c r="E243" s="5" t="n">
        <v>843.76</v>
      </c>
      <c r="F243" s="3" t="s">
        <v>24</v>
      </c>
      <c r="G243" s="5" t="s">
        <v>37</v>
      </c>
      <c r="H243" s="5" t="s">
        <v>37</v>
      </c>
      <c r="I243" s="3" t="s">
        <v>250</v>
      </c>
      <c r="J243" s="3" t="s">
        <v>125</v>
      </c>
      <c r="K243" s="3" t="s">
        <v>250</v>
      </c>
      <c r="L243" s="3" t="s">
        <v>251</v>
      </c>
      <c r="M243" s="3"/>
      <c r="N243" s="3" t="s">
        <v>126</v>
      </c>
    </row>
    <row r="244" customFormat="false" ht="34.5" hidden="false" customHeight="true" outlineLevel="0" collapsed="false">
      <c r="A244" s="3" t="s">
        <v>249</v>
      </c>
      <c r="B244" s="3" t="s">
        <v>249</v>
      </c>
      <c r="C244" s="4" t="s">
        <v>15</v>
      </c>
      <c r="D244" s="3" t="s">
        <v>16</v>
      </c>
      <c r="E244" s="5" t="n">
        <v>1000</v>
      </c>
      <c r="F244" s="3" t="s">
        <v>16</v>
      </c>
      <c r="G244" s="5" t="n">
        <v>1000</v>
      </c>
      <c r="H244" s="5" t="n">
        <f aca="false">ROUND(ABS(G244)-ABS(E244),2)</f>
        <v>0</v>
      </c>
      <c r="I244" s="3" t="s">
        <v>253</v>
      </c>
      <c r="J244" s="3"/>
      <c r="K244" s="3"/>
      <c r="L244" s="3" t="s">
        <v>254</v>
      </c>
      <c r="M244" s="3" t="s">
        <v>255</v>
      </c>
      <c r="N244" s="3"/>
    </row>
    <row r="245" customFormat="false" ht="34.5" hidden="false" customHeight="true" outlineLevel="0" collapsed="false">
      <c r="A245" s="3" t="s">
        <v>249</v>
      </c>
      <c r="B245" s="3" t="s">
        <v>249</v>
      </c>
      <c r="C245" s="6" t="s">
        <v>28</v>
      </c>
      <c r="D245" s="3" t="s">
        <v>21</v>
      </c>
      <c r="E245" s="5" t="n">
        <v>0</v>
      </c>
      <c r="F245" s="3" t="s">
        <v>21</v>
      </c>
      <c r="G245" s="5" t="n">
        <v>300</v>
      </c>
      <c r="H245" s="5" t="n">
        <f aca="false">ROUND(ABS(G245)-ABS(E245),2)</f>
        <v>300</v>
      </c>
      <c r="I245" s="3" t="s">
        <v>253</v>
      </c>
      <c r="J245" s="3"/>
      <c r="K245" s="3"/>
      <c r="L245" s="3" t="s">
        <v>256</v>
      </c>
      <c r="M245" s="3" t="s">
        <v>257</v>
      </c>
      <c r="N245" s="3"/>
    </row>
    <row r="246" customFormat="false" ht="23.25" hidden="false" customHeight="true" outlineLevel="0" collapsed="false">
      <c r="A246" s="3" t="s">
        <v>249</v>
      </c>
      <c r="B246" s="3" t="s">
        <v>249</v>
      </c>
      <c r="C246" s="6" t="s">
        <v>28</v>
      </c>
      <c r="D246" s="3" t="s">
        <v>24</v>
      </c>
      <c r="E246" s="5" t="n">
        <v>0</v>
      </c>
      <c r="F246" s="3" t="s">
        <v>24</v>
      </c>
      <c r="G246" s="5" t="n">
        <v>843.76</v>
      </c>
      <c r="H246" s="5" t="n">
        <f aca="false">ROUND(ABS(G246)-ABS(E246),2)</f>
        <v>843.76</v>
      </c>
      <c r="I246" s="3" t="s">
        <v>253</v>
      </c>
      <c r="J246" s="3"/>
      <c r="K246" s="3"/>
      <c r="L246" s="3" t="s">
        <v>256</v>
      </c>
      <c r="M246" s="3" t="s">
        <v>258</v>
      </c>
      <c r="N246" s="3"/>
    </row>
    <row r="247" customFormat="false" ht="23.25" hidden="false" customHeight="true" outlineLevel="0" collapsed="false">
      <c r="A247" s="3" t="s">
        <v>249</v>
      </c>
      <c r="B247" s="3" t="s">
        <v>249</v>
      </c>
      <c r="C247" s="7" t="s">
        <v>37</v>
      </c>
      <c r="D247" s="3" t="s">
        <v>25</v>
      </c>
      <c r="E247" s="5" t="n">
        <v>0</v>
      </c>
      <c r="F247" s="3" t="s">
        <v>25</v>
      </c>
      <c r="G247" s="5" t="n">
        <v>220.71</v>
      </c>
      <c r="H247" s="5" t="n">
        <f aca="false">ROUND(ABS(G247)-ABS(E247),2)</f>
        <v>220.71</v>
      </c>
      <c r="I247" s="3" t="s">
        <v>253</v>
      </c>
      <c r="J247" s="3"/>
      <c r="K247" s="3"/>
      <c r="L247" s="3" t="s">
        <v>256</v>
      </c>
      <c r="M247" s="3" t="s">
        <v>259</v>
      </c>
      <c r="N247" s="3" t="s">
        <v>62</v>
      </c>
    </row>
    <row r="248" customFormat="false" ht="23.25" hidden="false" customHeight="true" outlineLevel="0" collapsed="false">
      <c r="A248" s="3" t="s">
        <v>249</v>
      </c>
      <c r="B248" s="3" t="s">
        <v>249</v>
      </c>
      <c r="C248" s="7" t="s">
        <v>37</v>
      </c>
      <c r="D248" s="3" t="s">
        <v>29</v>
      </c>
      <c r="E248" s="5" t="s">
        <v>37</v>
      </c>
      <c r="F248" s="3" t="s">
        <v>29</v>
      </c>
      <c r="G248" s="5" t="s">
        <v>37</v>
      </c>
      <c r="H248" s="5" t="s">
        <v>37</v>
      </c>
      <c r="I248" s="3" t="s">
        <v>253</v>
      </c>
      <c r="J248" s="3" t="s">
        <v>38</v>
      </c>
      <c r="K248" s="3"/>
      <c r="L248" s="3" t="s">
        <v>39</v>
      </c>
      <c r="M248" s="3"/>
      <c r="N248" s="3" t="s">
        <v>40</v>
      </c>
    </row>
    <row r="249" customFormat="false" ht="15" hidden="false" customHeight="true" outlineLevel="0" collapsed="false">
      <c r="A249" s="3" t="s">
        <v>249</v>
      </c>
      <c r="B249" s="3" t="s">
        <v>249</v>
      </c>
      <c r="C249" s="7" t="s">
        <v>37</v>
      </c>
      <c r="D249" s="3" t="s">
        <v>25</v>
      </c>
      <c r="E249" s="5" t="n">
        <v>220.71</v>
      </c>
      <c r="F249" s="3" t="s">
        <v>25</v>
      </c>
      <c r="G249" s="5" t="s">
        <v>37</v>
      </c>
      <c r="H249" s="5" t="s">
        <v>37</v>
      </c>
      <c r="I249" s="3" t="s">
        <v>70</v>
      </c>
      <c r="J249" s="3" t="s">
        <v>71</v>
      </c>
      <c r="K249" s="3"/>
      <c r="L249" s="3" t="s">
        <v>72</v>
      </c>
      <c r="M249" s="3"/>
      <c r="N249" s="3" t="s">
        <v>73</v>
      </c>
    </row>
    <row r="250" customFormat="false" ht="75.75" hidden="false" customHeight="true" outlineLevel="0" collapsed="false">
      <c r="A250" s="8" t="s">
        <v>249</v>
      </c>
      <c r="B250" s="8" t="s">
        <v>249</v>
      </c>
      <c r="C250" s="8" t="s">
        <v>28</v>
      </c>
      <c r="D250" s="8" t="s">
        <v>47</v>
      </c>
      <c r="E250" s="8" t="s">
        <v>260</v>
      </c>
      <c r="F250" s="8" t="s">
        <v>47</v>
      </c>
      <c r="G250" s="8" t="s">
        <v>121</v>
      </c>
      <c r="H250" s="8"/>
      <c r="I250" s="8" t="s">
        <v>49</v>
      </c>
      <c r="J250" s="8" t="s">
        <v>121</v>
      </c>
      <c r="K250" s="8" t="s">
        <v>250</v>
      </c>
      <c r="L250" s="8" t="s">
        <v>251</v>
      </c>
      <c r="M250" s="8" t="s">
        <v>252</v>
      </c>
      <c r="N250" s="8" t="s">
        <v>261</v>
      </c>
    </row>
    <row r="251" customFormat="false" ht="23.25" hidden="false" customHeight="true" outlineLevel="0" collapsed="false">
      <c r="A251" s="3" t="s">
        <v>262</v>
      </c>
      <c r="B251" s="3" t="s">
        <v>262</v>
      </c>
      <c r="C251" s="4" t="s">
        <v>15</v>
      </c>
      <c r="D251" s="3" t="s">
        <v>16</v>
      </c>
      <c r="E251" s="5" t="n">
        <v>6700</v>
      </c>
      <c r="F251" s="3" t="s">
        <v>16</v>
      </c>
      <c r="G251" s="5" t="n">
        <v>6700</v>
      </c>
      <c r="H251" s="5" t="n">
        <f aca="false">ROUND(ABS(G251)-ABS(E251),2)</f>
        <v>0</v>
      </c>
      <c r="I251" s="3" t="s">
        <v>17</v>
      </c>
      <c r="J251" s="3" t="s">
        <v>214</v>
      </c>
      <c r="K251" s="3"/>
      <c r="L251" s="3" t="s">
        <v>263</v>
      </c>
      <c r="M251" s="3" t="s">
        <v>264</v>
      </c>
      <c r="N251" s="3"/>
    </row>
    <row r="252" customFormat="false" ht="23.25" hidden="false" customHeight="true" outlineLevel="0" collapsed="false">
      <c r="A252" s="3" t="s">
        <v>262</v>
      </c>
      <c r="B252" s="3" t="s">
        <v>262</v>
      </c>
      <c r="C252" s="4" t="s">
        <v>15</v>
      </c>
      <c r="D252" s="3" t="s">
        <v>21</v>
      </c>
      <c r="E252" s="5" t="n">
        <v>1280.31</v>
      </c>
      <c r="F252" s="3" t="s">
        <v>21</v>
      </c>
      <c r="G252" s="5" t="n">
        <v>1280.31</v>
      </c>
      <c r="H252" s="5" t="n">
        <f aca="false">ROUND(ABS(G252)-ABS(E252),2)</f>
        <v>0</v>
      </c>
      <c r="I252" s="3" t="s">
        <v>17</v>
      </c>
      <c r="J252" s="3" t="s">
        <v>214</v>
      </c>
      <c r="K252" s="3"/>
      <c r="L252" s="3" t="s">
        <v>263</v>
      </c>
      <c r="M252" s="3" t="s">
        <v>264</v>
      </c>
      <c r="N252" s="3"/>
    </row>
    <row r="253" customFormat="false" ht="23.25" hidden="false" customHeight="true" outlineLevel="0" collapsed="false">
      <c r="A253" s="3" t="s">
        <v>262</v>
      </c>
      <c r="B253" s="3" t="s">
        <v>262</v>
      </c>
      <c r="C253" s="4" t="s">
        <v>15</v>
      </c>
      <c r="D253" s="3" t="s">
        <v>22</v>
      </c>
      <c r="E253" s="5" t="n">
        <v>0</v>
      </c>
      <c r="F253" s="3" t="s">
        <v>22</v>
      </c>
      <c r="G253" s="5" t="n">
        <v>0</v>
      </c>
      <c r="H253" s="5" t="n">
        <f aca="false">ROUND(ABS(G253)-ABS(E253),2)</f>
        <v>0</v>
      </c>
      <c r="I253" s="3" t="s">
        <v>17</v>
      </c>
      <c r="J253" s="3" t="s">
        <v>214</v>
      </c>
      <c r="K253" s="3"/>
      <c r="L253" s="3" t="s">
        <v>263</v>
      </c>
      <c r="M253" s="3" t="s">
        <v>264</v>
      </c>
      <c r="N253" s="3" t="s">
        <v>23</v>
      </c>
    </row>
    <row r="254" customFormat="false" ht="23.25" hidden="false" customHeight="true" outlineLevel="0" collapsed="false">
      <c r="A254" s="3" t="s">
        <v>262</v>
      </c>
      <c r="B254" s="3" t="s">
        <v>262</v>
      </c>
      <c r="C254" s="4" t="s">
        <v>15</v>
      </c>
      <c r="D254" s="3" t="s">
        <v>24</v>
      </c>
      <c r="E254" s="5" t="n">
        <v>2385.97</v>
      </c>
      <c r="F254" s="3" t="s">
        <v>24</v>
      </c>
      <c r="G254" s="5" t="n">
        <v>2385.97</v>
      </c>
      <c r="H254" s="5" t="n">
        <f aca="false">ROUND(ABS(G254)-ABS(E254),2)</f>
        <v>0</v>
      </c>
      <c r="I254" s="3" t="s">
        <v>17</v>
      </c>
      <c r="J254" s="3" t="s">
        <v>214</v>
      </c>
      <c r="K254" s="3"/>
      <c r="L254" s="3" t="s">
        <v>263</v>
      </c>
      <c r="M254" s="3" t="s">
        <v>264</v>
      </c>
      <c r="N254" s="3"/>
    </row>
    <row r="255" customFormat="false" ht="23.25" hidden="false" customHeight="true" outlineLevel="0" collapsed="false">
      <c r="A255" s="3" t="s">
        <v>262</v>
      </c>
      <c r="B255" s="3" t="s">
        <v>262</v>
      </c>
      <c r="C255" s="6" t="s">
        <v>28</v>
      </c>
      <c r="D255" s="3" t="s">
        <v>25</v>
      </c>
      <c r="E255" s="5" t="n">
        <v>796.36</v>
      </c>
      <c r="F255" s="3" t="s">
        <v>25</v>
      </c>
      <c r="G255" s="5" t="n">
        <v>1115.91</v>
      </c>
      <c r="H255" s="5" t="n">
        <f aca="false">ROUND(ABS(G255)-ABS(E255),2)</f>
        <v>319.55</v>
      </c>
      <c r="I255" s="3" t="s">
        <v>17</v>
      </c>
      <c r="J255" s="3" t="s">
        <v>214</v>
      </c>
      <c r="K255" s="3"/>
      <c r="L255" s="3" t="s">
        <v>263</v>
      </c>
      <c r="M255" s="3" t="s">
        <v>264</v>
      </c>
      <c r="N255" s="3"/>
    </row>
    <row r="256" customFormat="false" ht="23.25" hidden="false" customHeight="true" outlineLevel="0" collapsed="false">
      <c r="A256" s="3" t="s">
        <v>262</v>
      </c>
      <c r="B256" s="3" t="s">
        <v>262</v>
      </c>
      <c r="C256" s="4" t="s">
        <v>15</v>
      </c>
      <c r="D256" s="3" t="s">
        <v>26</v>
      </c>
      <c r="E256" s="5" t="n">
        <v>0</v>
      </c>
      <c r="F256" s="3" t="s">
        <v>26</v>
      </c>
      <c r="G256" s="5" t="n">
        <v>0</v>
      </c>
      <c r="H256" s="5" t="n">
        <f aca="false">ROUND(ABS(G256)-ABS(E256),2)</f>
        <v>0</v>
      </c>
      <c r="I256" s="3" t="s">
        <v>17</v>
      </c>
      <c r="J256" s="3" t="s">
        <v>214</v>
      </c>
      <c r="K256" s="3"/>
      <c r="L256" s="3" t="s">
        <v>263</v>
      </c>
      <c r="M256" s="3" t="s">
        <v>264</v>
      </c>
      <c r="N256" s="3" t="s">
        <v>27</v>
      </c>
    </row>
    <row r="257" customFormat="false" ht="23.25" hidden="false" customHeight="true" outlineLevel="0" collapsed="false">
      <c r="A257" s="3" t="s">
        <v>262</v>
      </c>
      <c r="B257" s="3" t="s">
        <v>262</v>
      </c>
      <c r="C257" s="6" t="s">
        <v>28</v>
      </c>
      <c r="D257" s="3" t="s">
        <v>29</v>
      </c>
      <c r="E257" s="5" t="n">
        <v>2082.86</v>
      </c>
      <c r="F257" s="3" t="s">
        <v>29</v>
      </c>
      <c r="G257" s="5" t="n">
        <v>-541.67</v>
      </c>
      <c r="H257" s="5" t="n">
        <f aca="false">ROUND(ABS(G257)-ABS(E257),2)</f>
        <v>-1541.19</v>
      </c>
      <c r="I257" s="3" t="s">
        <v>17</v>
      </c>
      <c r="J257" s="3" t="s">
        <v>214</v>
      </c>
      <c r="K257" s="3"/>
      <c r="L257" s="3" t="s">
        <v>263</v>
      </c>
      <c r="M257" s="3" t="s">
        <v>264</v>
      </c>
      <c r="N257" s="3" t="s">
        <v>30</v>
      </c>
    </row>
    <row r="258" customFormat="false" ht="34.5" hidden="false" customHeight="true" outlineLevel="0" collapsed="false">
      <c r="A258" s="3" t="s">
        <v>262</v>
      </c>
      <c r="B258" s="3" t="s">
        <v>262</v>
      </c>
      <c r="C258" s="4" t="s">
        <v>15</v>
      </c>
      <c r="D258" s="3" t="s">
        <v>16</v>
      </c>
      <c r="E258" s="5" t="n">
        <v>3600</v>
      </c>
      <c r="F258" s="3" t="s">
        <v>16</v>
      </c>
      <c r="G258" s="5" t="n">
        <v>3600</v>
      </c>
      <c r="H258" s="5" t="n">
        <f aca="false">ROUND(ABS(G258)-ABS(E258),2)</f>
        <v>0</v>
      </c>
      <c r="I258" s="3" t="s">
        <v>265</v>
      </c>
      <c r="J258" s="3"/>
      <c r="K258" s="3"/>
      <c r="L258" s="3" t="s">
        <v>266</v>
      </c>
      <c r="M258" s="3" t="s">
        <v>267</v>
      </c>
      <c r="N258" s="3"/>
    </row>
    <row r="259" customFormat="false" ht="34.5" hidden="false" customHeight="true" outlineLevel="0" collapsed="false">
      <c r="A259" s="3" t="s">
        <v>262</v>
      </c>
      <c r="B259" s="3" t="s">
        <v>262</v>
      </c>
      <c r="C259" s="4" t="s">
        <v>15</v>
      </c>
      <c r="D259" s="3" t="s">
        <v>21</v>
      </c>
      <c r="E259" s="5" t="n">
        <v>627.89</v>
      </c>
      <c r="F259" s="3" t="s">
        <v>21</v>
      </c>
      <c r="G259" s="5" t="n">
        <v>627.89</v>
      </c>
      <c r="H259" s="5" t="n">
        <f aca="false">ROUND(ABS(G259)-ABS(E259),2)</f>
        <v>0</v>
      </c>
      <c r="I259" s="3" t="s">
        <v>265</v>
      </c>
      <c r="J259" s="3"/>
      <c r="K259" s="3"/>
      <c r="L259" s="3" t="s">
        <v>266</v>
      </c>
      <c r="M259" s="3" t="s">
        <v>268</v>
      </c>
      <c r="N259" s="3"/>
    </row>
    <row r="260" customFormat="false" ht="34.5" hidden="false" customHeight="true" outlineLevel="0" collapsed="false">
      <c r="A260" s="3" t="s">
        <v>262</v>
      </c>
      <c r="B260" s="3" t="s">
        <v>262</v>
      </c>
      <c r="C260" s="4" t="s">
        <v>15</v>
      </c>
      <c r="D260" s="3" t="s">
        <v>24</v>
      </c>
      <c r="E260" s="5" t="n">
        <v>1366.68</v>
      </c>
      <c r="F260" s="3" t="s">
        <v>24</v>
      </c>
      <c r="G260" s="5" t="n">
        <v>1366.68</v>
      </c>
      <c r="H260" s="5" t="n">
        <f aca="false">ROUND(ABS(G260)-ABS(E260),2)</f>
        <v>0</v>
      </c>
      <c r="I260" s="3" t="s">
        <v>265</v>
      </c>
      <c r="J260" s="3"/>
      <c r="K260" s="3"/>
      <c r="L260" s="3" t="s">
        <v>266</v>
      </c>
      <c r="M260" s="3" t="s">
        <v>269</v>
      </c>
      <c r="N260" s="3"/>
    </row>
    <row r="261" customFormat="false" ht="45.75" hidden="false" customHeight="true" outlineLevel="0" collapsed="false">
      <c r="A261" s="3" t="s">
        <v>262</v>
      </c>
      <c r="B261" s="3" t="s">
        <v>262</v>
      </c>
      <c r="C261" s="7" t="s">
        <v>37</v>
      </c>
      <c r="D261" s="3" t="s">
        <v>25</v>
      </c>
      <c r="E261" s="5" t="n">
        <v>321.68</v>
      </c>
      <c r="F261" s="3" t="s">
        <v>25</v>
      </c>
      <c r="G261" s="5" t="n">
        <v>671.56</v>
      </c>
      <c r="H261" s="5" t="n">
        <f aca="false">ROUND(ABS(G261)-ABS(E261),2)</f>
        <v>349.88</v>
      </c>
      <c r="I261" s="3" t="s">
        <v>265</v>
      </c>
      <c r="J261" s="3"/>
      <c r="K261" s="3"/>
      <c r="L261" s="3" t="s">
        <v>270</v>
      </c>
      <c r="M261" s="3" t="s">
        <v>271</v>
      </c>
      <c r="N261" s="3" t="s">
        <v>62</v>
      </c>
    </row>
    <row r="262" customFormat="false" ht="23.25" hidden="false" customHeight="true" outlineLevel="0" collapsed="false">
      <c r="A262" s="3" t="s">
        <v>262</v>
      </c>
      <c r="B262" s="3" t="s">
        <v>262</v>
      </c>
      <c r="C262" s="7" t="s">
        <v>37</v>
      </c>
      <c r="D262" s="3" t="s">
        <v>29</v>
      </c>
      <c r="E262" s="5" t="s">
        <v>37</v>
      </c>
      <c r="F262" s="3" t="s">
        <v>29</v>
      </c>
      <c r="G262" s="5" t="s">
        <v>37</v>
      </c>
      <c r="H262" s="5" t="s">
        <v>37</v>
      </c>
      <c r="I262" s="3" t="s">
        <v>265</v>
      </c>
      <c r="J262" s="3" t="s">
        <v>38</v>
      </c>
      <c r="K262" s="3"/>
      <c r="L262" s="3" t="s">
        <v>39</v>
      </c>
      <c r="M262" s="3"/>
      <c r="N262" s="3" t="s">
        <v>40</v>
      </c>
    </row>
    <row r="263" customFormat="false" ht="34.5" hidden="false" customHeight="true" outlineLevel="0" collapsed="false">
      <c r="A263" s="3" t="s">
        <v>262</v>
      </c>
      <c r="B263" s="3" t="s">
        <v>262</v>
      </c>
      <c r="C263" s="4" t="s">
        <v>15</v>
      </c>
      <c r="D263" s="3" t="s">
        <v>16</v>
      </c>
      <c r="E263" s="5" t="n">
        <v>3100</v>
      </c>
      <c r="F263" s="3" t="s">
        <v>16</v>
      </c>
      <c r="G263" s="5" t="n">
        <v>3100</v>
      </c>
      <c r="H263" s="5" t="n">
        <f aca="false">ROUND(ABS(G263)-ABS(E263),2)</f>
        <v>0</v>
      </c>
      <c r="I263" s="3" t="s">
        <v>272</v>
      </c>
      <c r="J263" s="3"/>
      <c r="K263" s="3"/>
      <c r="L263" s="3" t="s">
        <v>266</v>
      </c>
      <c r="M263" s="3" t="s">
        <v>273</v>
      </c>
      <c r="N263" s="3"/>
    </row>
    <row r="264" customFormat="false" ht="34.5" hidden="false" customHeight="true" outlineLevel="0" collapsed="false">
      <c r="A264" s="3" t="s">
        <v>262</v>
      </c>
      <c r="B264" s="3" t="s">
        <v>262</v>
      </c>
      <c r="C264" s="4" t="s">
        <v>15</v>
      </c>
      <c r="D264" s="3" t="s">
        <v>21</v>
      </c>
      <c r="E264" s="5" t="n">
        <v>652.42</v>
      </c>
      <c r="F264" s="3" t="s">
        <v>21</v>
      </c>
      <c r="G264" s="5" t="n">
        <v>652.42</v>
      </c>
      <c r="H264" s="5" t="n">
        <f aca="false">ROUND(ABS(G264)-ABS(E264),2)</f>
        <v>0</v>
      </c>
      <c r="I264" s="3" t="s">
        <v>272</v>
      </c>
      <c r="J264" s="3"/>
      <c r="K264" s="3"/>
      <c r="L264" s="3" t="s">
        <v>266</v>
      </c>
      <c r="M264" s="3" t="s">
        <v>274</v>
      </c>
      <c r="N264" s="3"/>
    </row>
    <row r="265" customFormat="false" ht="34.5" hidden="false" customHeight="true" outlineLevel="0" collapsed="false">
      <c r="A265" s="3" t="s">
        <v>262</v>
      </c>
      <c r="B265" s="3" t="s">
        <v>262</v>
      </c>
      <c r="C265" s="4" t="s">
        <v>15</v>
      </c>
      <c r="D265" s="3" t="s">
        <v>24</v>
      </c>
      <c r="E265" s="5" t="n">
        <v>1019.29</v>
      </c>
      <c r="F265" s="3" t="s">
        <v>24</v>
      </c>
      <c r="G265" s="5" t="n">
        <v>1019.29</v>
      </c>
      <c r="H265" s="5" t="n">
        <f aca="false">ROUND(ABS(G265)-ABS(E265),2)</f>
        <v>0</v>
      </c>
      <c r="I265" s="3" t="s">
        <v>272</v>
      </c>
      <c r="J265" s="3"/>
      <c r="K265" s="3"/>
      <c r="L265" s="3" t="s">
        <v>266</v>
      </c>
      <c r="M265" s="3" t="s">
        <v>275</v>
      </c>
      <c r="N265" s="3"/>
    </row>
    <row r="266" customFormat="false" ht="34.5" hidden="false" customHeight="true" outlineLevel="0" collapsed="false">
      <c r="A266" s="3" t="s">
        <v>262</v>
      </c>
      <c r="B266" s="3" t="s">
        <v>262</v>
      </c>
      <c r="C266" s="7" t="s">
        <v>37</v>
      </c>
      <c r="D266" s="3" t="s">
        <v>25</v>
      </c>
      <c r="E266" s="5" t="n">
        <v>270.63</v>
      </c>
      <c r="F266" s="3" t="s">
        <v>25</v>
      </c>
      <c r="G266" s="5" t="n">
        <v>444.35</v>
      </c>
      <c r="H266" s="5" t="n">
        <f aca="false">ROUND(ABS(G266)-ABS(E266),2)</f>
        <v>173.72</v>
      </c>
      <c r="I266" s="3" t="s">
        <v>272</v>
      </c>
      <c r="J266" s="3"/>
      <c r="K266" s="3"/>
      <c r="L266" s="3" t="s">
        <v>270</v>
      </c>
      <c r="M266" s="3" t="s">
        <v>276</v>
      </c>
      <c r="N266" s="3" t="s">
        <v>62</v>
      </c>
    </row>
    <row r="267" customFormat="false" ht="23.25" hidden="false" customHeight="true" outlineLevel="0" collapsed="false">
      <c r="A267" s="3" t="s">
        <v>262</v>
      </c>
      <c r="B267" s="3" t="s">
        <v>262</v>
      </c>
      <c r="C267" s="7" t="s">
        <v>37</v>
      </c>
      <c r="D267" s="3" t="s">
        <v>29</v>
      </c>
      <c r="E267" s="5" t="s">
        <v>37</v>
      </c>
      <c r="F267" s="3" t="s">
        <v>29</v>
      </c>
      <c r="G267" s="5" t="s">
        <v>37</v>
      </c>
      <c r="H267" s="5" t="s">
        <v>37</v>
      </c>
      <c r="I267" s="3" t="s">
        <v>272</v>
      </c>
      <c r="J267" s="3" t="s">
        <v>38</v>
      </c>
      <c r="K267" s="3"/>
      <c r="L267" s="3" t="s">
        <v>39</v>
      </c>
      <c r="M267" s="3"/>
      <c r="N267" s="3" t="s">
        <v>40</v>
      </c>
    </row>
    <row r="268" customFormat="false" ht="15" hidden="false" customHeight="true" outlineLevel="0" collapsed="false">
      <c r="A268" s="3" t="s">
        <v>262</v>
      </c>
      <c r="B268" s="3" t="s">
        <v>262</v>
      </c>
      <c r="C268" s="7" t="s">
        <v>37</v>
      </c>
      <c r="D268" s="3" t="s">
        <v>25</v>
      </c>
      <c r="E268" s="5" t="n">
        <v>204.05</v>
      </c>
      <c r="F268" s="3" t="s">
        <v>25</v>
      </c>
      <c r="G268" s="5" t="s">
        <v>37</v>
      </c>
      <c r="H268" s="5" t="s">
        <v>37</v>
      </c>
      <c r="I268" s="3" t="s">
        <v>70</v>
      </c>
      <c r="J268" s="3" t="s">
        <v>71</v>
      </c>
      <c r="K268" s="3"/>
      <c r="L268" s="3" t="s">
        <v>72</v>
      </c>
      <c r="M268" s="3"/>
      <c r="N268" s="3" t="s">
        <v>73</v>
      </c>
    </row>
    <row r="269" customFormat="false" ht="75.75" hidden="false" customHeight="true" outlineLevel="0" collapsed="false">
      <c r="A269" s="8" t="s">
        <v>262</v>
      </c>
      <c r="B269" s="8" t="s">
        <v>262</v>
      </c>
      <c r="C269" s="8" t="s">
        <v>28</v>
      </c>
      <c r="D269" s="8" t="s">
        <v>47</v>
      </c>
      <c r="E269" s="8" t="s">
        <v>277</v>
      </c>
      <c r="F269" s="8" t="s">
        <v>47</v>
      </c>
      <c r="G269" s="8" t="s">
        <v>214</v>
      </c>
      <c r="H269" s="8"/>
      <c r="I269" s="8" t="s">
        <v>49</v>
      </c>
      <c r="J269" s="8" t="s">
        <v>214</v>
      </c>
      <c r="K269" s="8"/>
      <c r="L269" s="8" t="s">
        <v>263</v>
      </c>
      <c r="M269" s="8" t="s">
        <v>264</v>
      </c>
      <c r="N269" s="8" t="s">
        <v>278</v>
      </c>
    </row>
    <row r="270" customFormat="false" ht="15" hidden="false" customHeight="true" outlineLevel="0" collapsed="false">
      <c r="A270" s="3" t="s">
        <v>279</v>
      </c>
      <c r="B270" s="3" t="s">
        <v>279</v>
      </c>
      <c r="C270" s="4" t="s">
        <v>15</v>
      </c>
      <c r="D270" s="3" t="s">
        <v>16</v>
      </c>
      <c r="E270" s="5" t="n">
        <v>7020</v>
      </c>
      <c r="F270" s="3" t="s">
        <v>16</v>
      </c>
      <c r="G270" s="5" t="n">
        <v>7020</v>
      </c>
      <c r="H270" s="5" t="n">
        <f aca="false">ROUND(ABS(G270)-ABS(E270),2)</f>
        <v>0</v>
      </c>
      <c r="I270" s="3" t="s">
        <v>17</v>
      </c>
      <c r="J270" s="3" t="s">
        <v>18</v>
      </c>
      <c r="K270" s="3"/>
      <c r="L270" s="3" t="s">
        <v>280</v>
      </c>
      <c r="M270" s="3" t="s">
        <v>281</v>
      </c>
      <c r="N270" s="3"/>
    </row>
    <row r="271" customFormat="false" ht="15" hidden="false" customHeight="true" outlineLevel="0" collapsed="false">
      <c r="A271" s="3" t="s">
        <v>279</v>
      </c>
      <c r="B271" s="3" t="s">
        <v>279</v>
      </c>
      <c r="C271" s="4" t="s">
        <v>15</v>
      </c>
      <c r="D271" s="3" t="s">
        <v>21</v>
      </c>
      <c r="E271" s="5" t="n">
        <v>1489.11</v>
      </c>
      <c r="F271" s="3" t="s">
        <v>21</v>
      </c>
      <c r="G271" s="5" t="n">
        <v>1489.11</v>
      </c>
      <c r="H271" s="5" t="n">
        <f aca="false">ROUND(ABS(G271)-ABS(E271),2)</f>
        <v>0</v>
      </c>
      <c r="I271" s="3" t="s">
        <v>17</v>
      </c>
      <c r="J271" s="3" t="s">
        <v>18</v>
      </c>
      <c r="K271" s="3"/>
      <c r="L271" s="3" t="s">
        <v>280</v>
      </c>
      <c r="M271" s="3" t="s">
        <v>281</v>
      </c>
      <c r="N271" s="3"/>
    </row>
    <row r="272" customFormat="false" ht="23.25" hidden="false" customHeight="true" outlineLevel="0" collapsed="false">
      <c r="A272" s="3" t="s">
        <v>279</v>
      </c>
      <c r="B272" s="3" t="s">
        <v>279</v>
      </c>
      <c r="C272" s="4" t="s">
        <v>15</v>
      </c>
      <c r="D272" s="3" t="s">
        <v>22</v>
      </c>
      <c r="E272" s="5" t="n">
        <v>43</v>
      </c>
      <c r="F272" s="3" t="s">
        <v>22</v>
      </c>
      <c r="G272" s="5" t="n">
        <v>43</v>
      </c>
      <c r="H272" s="5" t="n">
        <f aca="false">ROUND(ABS(G272)-ABS(E272),2)</f>
        <v>0</v>
      </c>
      <c r="I272" s="3" t="s">
        <v>17</v>
      </c>
      <c r="J272" s="3" t="s">
        <v>18</v>
      </c>
      <c r="K272" s="3"/>
      <c r="L272" s="3" t="s">
        <v>280</v>
      </c>
      <c r="M272" s="3" t="s">
        <v>281</v>
      </c>
      <c r="N272" s="3" t="s">
        <v>23</v>
      </c>
    </row>
    <row r="273" customFormat="false" ht="15" hidden="false" customHeight="true" outlineLevel="0" collapsed="false">
      <c r="A273" s="3" t="s">
        <v>279</v>
      </c>
      <c r="B273" s="3" t="s">
        <v>279</v>
      </c>
      <c r="C273" s="4" t="s">
        <v>15</v>
      </c>
      <c r="D273" s="3" t="s">
        <v>24</v>
      </c>
      <c r="E273" s="5" t="n">
        <v>3301.67</v>
      </c>
      <c r="F273" s="3" t="s">
        <v>24</v>
      </c>
      <c r="G273" s="5" t="n">
        <v>3301.67</v>
      </c>
      <c r="H273" s="5" t="n">
        <f aca="false">ROUND(ABS(G273)-ABS(E273),2)</f>
        <v>0</v>
      </c>
      <c r="I273" s="3" t="s">
        <v>17</v>
      </c>
      <c r="J273" s="3" t="s">
        <v>18</v>
      </c>
      <c r="K273" s="3"/>
      <c r="L273" s="3" t="s">
        <v>280</v>
      </c>
      <c r="M273" s="3" t="s">
        <v>281</v>
      </c>
      <c r="N273" s="3"/>
    </row>
    <row r="274" customFormat="false" ht="15" hidden="false" customHeight="true" outlineLevel="0" collapsed="false">
      <c r="A274" s="3" t="s">
        <v>279</v>
      </c>
      <c r="B274" s="3" t="s">
        <v>279</v>
      </c>
      <c r="C274" s="4" t="s">
        <v>15</v>
      </c>
      <c r="D274" s="3" t="s">
        <v>25</v>
      </c>
      <c r="E274" s="5" t="n">
        <v>243.29</v>
      </c>
      <c r="F274" s="3" t="s">
        <v>25</v>
      </c>
      <c r="G274" s="5" t="n">
        <v>243.29</v>
      </c>
      <c r="H274" s="5" t="n">
        <f aca="false">ROUND(ABS(G274)-ABS(E274),2)</f>
        <v>0</v>
      </c>
      <c r="I274" s="3" t="s">
        <v>17</v>
      </c>
      <c r="J274" s="3" t="s">
        <v>18</v>
      </c>
      <c r="K274" s="3"/>
      <c r="L274" s="3" t="s">
        <v>280</v>
      </c>
      <c r="M274" s="3" t="s">
        <v>281</v>
      </c>
      <c r="N274" s="3"/>
    </row>
    <row r="275" customFormat="false" ht="15" hidden="false" customHeight="true" outlineLevel="0" collapsed="false">
      <c r="A275" s="3" t="s">
        <v>279</v>
      </c>
      <c r="B275" s="3" t="s">
        <v>279</v>
      </c>
      <c r="C275" s="4" t="s">
        <v>15</v>
      </c>
      <c r="D275" s="3" t="s">
        <v>26</v>
      </c>
      <c r="E275" s="5" t="n">
        <v>0</v>
      </c>
      <c r="F275" s="3" t="s">
        <v>26</v>
      </c>
      <c r="G275" s="5" t="n">
        <v>0</v>
      </c>
      <c r="H275" s="5" t="n">
        <f aca="false">ROUND(ABS(G275)-ABS(E275),2)</f>
        <v>0</v>
      </c>
      <c r="I275" s="3" t="s">
        <v>17</v>
      </c>
      <c r="J275" s="3" t="s">
        <v>18</v>
      </c>
      <c r="K275" s="3"/>
      <c r="L275" s="3" t="s">
        <v>280</v>
      </c>
      <c r="M275" s="3" t="s">
        <v>281</v>
      </c>
      <c r="N275" s="3" t="s">
        <v>27</v>
      </c>
    </row>
    <row r="276" customFormat="false" ht="23.25" hidden="false" customHeight="true" outlineLevel="0" collapsed="false">
      <c r="A276" s="3" t="s">
        <v>279</v>
      </c>
      <c r="B276" s="3" t="s">
        <v>279</v>
      </c>
      <c r="C276" s="6" t="s">
        <v>28</v>
      </c>
      <c r="D276" s="3" t="s">
        <v>29</v>
      </c>
      <c r="E276" s="5" t="n">
        <v>1843.93</v>
      </c>
      <c r="F276" s="3" t="s">
        <v>29</v>
      </c>
      <c r="G276" s="5" t="n">
        <v>-4018.99</v>
      </c>
      <c r="H276" s="5" t="n">
        <f aca="false">ROUND(ABS(G276)-ABS(E276),2)</f>
        <v>2175.06</v>
      </c>
      <c r="I276" s="3" t="s">
        <v>17</v>
      </c>
      <c r="J276" s="3" t="s">
        <v>18</v>
      </c>
      <c r="K276" s="3"/>
      <c r="L276" s="3" t="s">
        <v>280</v>
      </c>
      <c r="M276" s="3" t="s">
        <v>281</v>
      </c>
      <c r="N276" s="3" t="s">
        <v>30</v>
      </c>
    </row>
    <row r="277" customFormat="false" ht="23.25" hidden="false" customHeight="true" outlineLevel="0" collapsed="false">
      <c r="A277" s="3" t="s">
        <v>279</v>
      </c>
      <c r="B277" s="3" t="s">
        <v>279</v>
      </c>
      <c r="C277" s="4" t="s">
        <v>15</v>
      </c>
      <c r="D277" s="3" t="s">
        <v>16</v>
      </c>
      <c r="E277" s="5" t="n">
        <v>3900</v>
      </c>
      <c r="F277" s="3" t="s">
        <v>16</v>
      </c>
      <c r="G277" s="5" t="n">
        <v>3900</v>
      </c>
      <c r="H277" s="5" t="n">
        <f aca="false">ROUND(ABS(G277)-ABS(E277),2)</f>
        <v>0</v>
      </c>
      <c r="I277" s="3" t="s">
        <v>282</v>
      </c>
      <c r="J277" s="3"/>
      <c r="K277" s="3"/>
      <c r="L277" s="3" t="s">
        <v>283</v>
      </c>
      <c r="M277" s="3" t="s">
        <v>284</v>
      </c>
      <c r="N277" s="3"/>
    </row>
    <row r="278" customFormat="false" ht="23.25" hidden="false" customHeight="true" outlineLevel="0" collapsed="false">
      <c r="A278" s="3" t="s">
        <v>279</v>
      </c>
      <c r="B278" s="3" t="s">
        <v>279</v>
      </c>
      <c r="C278" s="4" t="s">
        <v>15</v>
      </c>
      <c r="D278" s="3" t="s">
        <v>21</v>
      </c>
      <c r="E278" s="5" t="n">
        <v>728.51</v>
      </c>
      <c r="F278" s="3" t="s">
        <v>21</v>
      </c>
      <c r="G278" s="5" t="n">
        <v>728.51</v>
      </c>
      <c r="H278" s="5" t="n">
        <f aca="false">ROUND(ABS(G278)-ABS(E278),2)</f>
        <v>0</v>
      </c>
      <c r="I278" s="3" t="s">
        <v>282</v>
      </c>
      <c r="J278" s="3"/>
      <c r="K278" s="3"/>
      <c r="L278" s="3" t="s">
        <v>283</v>
      </c>
      <c r="M278" s="3" t="s">
        <v>285</v>
      </c>
      <c r="N278" s="3"/>
    </row>
    <row r="279" customFormat="false" ht="23.25" hidden="false" customHeight="true" outlineLevel="0" collapsed="false">
      <c r="A279" s="3" t="s">
        <v>279</v>
      </c>
      <c r="B279" s="3" t="s">
        <v>279</v>
      </c>
      <c r="C279" s="4" t="s">
        <v>15</v>
      </c>
      <c r="D279" s="3" t="s">
        <v>24</v>
      </c>
      <c r="E279" s="5" t="n">
        <v>1477.89</v>
      </c>
      <c r="F279" s="3" t="s">
        <v>24</v>
      </c>
      <c r="G279" s="5" t="n">
        <v>1477.89</v>
      </c>
      <c r="H279" s="5" t="n">
        <f aca="false">ROUND(ABS(G279)-ABS(E279),2)</f>
        <v>0</v>
      </c>
      <c r="I279" s="3" t="s">
        <v>282</v>
      </c>
      <c r="J279" s="3"/>
      <c r="K279" s="3"/>
      <c r="L279" s="3" t="s">
        <v>283</v>
      </c>
      <c r="M279" s="3" t="s">
        <v>286</v>
      </c>
      <c r="N279" s="3"/>
    </row>
    <row r="280" customFormat="false" ht="45.75" hidden="false" customHeight="true" outlineLevel="0" collapsed="false">
      <c r="A280" s="3" t="s">
        <v>279</v>
      </c>
      <c r="B280" s="3" t="s">
        <v>279</v>
      </c>
      <c r="C280" s="7" t="s">
        <v>37</v>
      </c>
      <c r="D280" s="3" t="s">
        <v>25</v>
      </c>
      <c r="E280" s="5" t="n">
        <v>34.27</v>
      </c>
      <c r="F280" s="3" t="s">
        <v>25</v>
      </c>
      <c r="G280" s="5" t="n">
        <v>243.29</v>
      </c>
      <c r="H280" s="5" t="n">
        <f aca="false">ROUND(ABS(G280)-ABS(E280),2)</f>
        <v>209.02</v>
      </c>
      <c r="I280" s="3" t="s">
        <v>282</v>
      </c>
      <c r="J280" s="3"/>
      <c r="K280" s="3"/>
      <c r="L280" s="3" t="s">
        <v>287</v>
      </c>
      <c r="M280" s="3" t="s">
        <v>288</v>
      </c>
      <c r="N280" s="3" t="s">
        <v>62</v>
      </c>
    </row>
    <row r="281" customFormat="false" ht="23.25" hidden="false" customHeight="true" outlineLevel="0" collapsed="false">
      <c r="A281" s="3" t="s">
        <v>279</v>
      </c>
      <c r="B281" s="3" t="s">
        <v>279</v>
      </c>
      <c r="C281" s="7" t="s">
        <v>37</v>
      </c>
      <c r="D281" s="3" t="s">
        <v>29</v>
      </c>
      <c r="E281" s="5" t="s">
        <v>37</v>
      </c>
      <c r="F281" s="3" t="s">
        <v>29</v>
      </c>
      <c r="G281" s="5" t="s">
        <v>37</v>
      </c>
      <c r="H281" s="5" t="s">
        <v>37</v>
      </c>
      <c r="I281" s="3" t="s">
        <v>282</v>
      </c>
      <c r="J281" s="3" t="s">
        <v>38</v>
      </c>
      <c r="K281" s="3"/>
      <c r="L281" s="3" t="s">
        <v>39</v>
      </c>
      <c r="M281" s="3"/>
      <c r="N281" s="3" t="s">
        <v>40</v>
      </c>
    </row>
    <row r="282" customFormat="false" ht="23.25" hidden="false" customHeight="true" outlineLevel="0" collapsed="false">
      <c r="A282" s="3" t="s">
        <v>279</v>
      </c>
      <c r="B282" s="3" t="s">
        <v>279</v>
      </c>
      <c r="C282" s="4" t="s">
        <v>15</v>
      </c>
      <c r="D282" s="3" t="s">
        <v>16</v>
      </c>
      <c r="E282" s="5" t="n">
        <v>3120</v>
      </c>
      <c r="F282" s="3" t="s">
        <v>16</v>
      </c>
      <c r="G282" s="5" t="n">
        <v>3120</v>
      </c>
      <c r="H282" s="5" t="n">
        <f aca="false">ROUND(ABS(G282)-ABS(E282),2)</f>
        <v>0</v>
      </c>
      <c r="I282" s="3" t="s">
        <v>289</v>
      </c>
      <c r="J282" s="3"/>
      <c r="K282" s="3"/>
      <c r="L282" s="3" t="s">
        <v>283</v>
      </c>
      <c r="M282" s="3" t="s">
        <v>290</v>
      </c>
      <c r="N282" s="3"/>
    </row>
    <row r="283" customFormat="false" ht="23.25" hidden="false" customHeight="true" outlineLevel="0" collapsed="false">
      <c r="A283" s="3" t="s">
        <v>279</v>
      </c>
      <c r="B283" s="3" t="s">
        <v>279</v>
      </c>
      <c r="C283" s="4" t="s">
        <v>15</v>
      </c>
      <c r="D283" s="3" t="s">
        <v>21</v>
      </c>
      <c r="E283" s="5" t="n">
        <v>760.6</v>
      </c>
      <c r="F283" s="3" t="s">
        <v>21</v>
      </c>
      <c r="G283" s="5" t="n">
        <v>760.6</v>
      </c>
      <c r="H283" s="5" t="n">
        <f aca="false">ROUND(ABS(G283)-ABS(E283),2)</f>
        <v>0</v>
      </c>
      <c r="I283" s="3" t="s">
        <v>289</v>
      </c>
      <c r="J283" s="3"/>
      <c r="K283" s="3"/>
      <c r="L283" s="3" t="s">
        <v>283</v>
      </c>
      <c r="M283" s="3" t="s">
        <v>291</v>
      </c>
      <c r="N283" s="3"/>
    </row>
    <row r="284" customFormat="false" ht="23.25" hidden="false" customHeight="true" outlineLevel="0" collapsed="false">
      <c r="A284" s="3" t="s">
        <v>279</v>
      </c>
      <c r="B284" s="3" t="s">
        <v>279</v>
      </c>
      <c r="C284" s="4" t="s">
        <v>15</v>
      </c>
      <c r="D284" s="3" t="s">
        <v>22</v>
      </c>
      <c r="E284" s="5" t="n">
        <v>43</v>
      </c>
      <c r="F284" s="3" t="s">
        <v>22</v>
      </c>
      <c r="G284" s="5" t="n">
        <v>43</v>
      </c>
      <c r="H284" s="5" t="n">
        <f aca="false">ROUND(ABS(G284)-ABS(E284),2)</f>
        <v>0</v>
      </c>
      <c r="I284" s="3" t="s">
        <v>289</v>
      </c>
      <c r="J284" s="3"/>
      <c r="K284" s="3"/>
      <c r="L284" s="3" t="s">
        <v>292</v>
      </c>
      <c r="M284" s="3" t="s">
        <v>293</v>
      </c>
      <c r="N284" s="3"/>
    </row>
    <row r="285" customFormat="false" ht="23.25" hidden="false" customHeight="true" outlineLevel="0" collapsed="false">
      <c r="A285" s="3" t="s">
        <v>279</v>
      </c>
      <c r="B285" s="3" t="s">
        <v>279</v>
      </c>
      <c r="C285" s="4" t="s">
        <v>15</v>
      </c>
      <c r="D285" s="3" t="s">
        <v>24</v>
      </c>
      <c r="E285" s="5" t="n">
        <v>1823.78</v>
      </c>
      <c r="F285" s="3" t="s">
        <v>24</v>
      </c>
      <c r="G285" s="5" t="n">
        <v>1823.78</v>
      </c>
      <c r="H285" s="5" t="n">
        <f aca="false">ROUND(ABS(G285)-ABS(E285),2)</f>
        <v>0</v>
      </c>
      <c r="I285" s="3" t="s">
        <v>289</v>
      </c>
      <c r="J285" s="3"/>
      <c r="K285" s="3"/>
      <c r="L285" s="3" t="s">
        <v>283</v>
      </c>
      <c r="M285" s="3" t="s">
        <v>294</v>
      </c>
      <c r="N285" s="3"/>
    </row>
    <row r="286" customFormat="false" ht="23.25" hidden="false" customHeight="true" outlineLevel="0" collapsed="false">
      <c r="A286" s="3" t="s">
        <v>279</v>
      </c>
      <c r="B286" s="3" t="s">
        <v>279</v>
      </c>
      <c r="C286" s="6" t="s">
        <v>28</v>
      </c>
      <c r="D286" s="3" t="s">
        <v>25</v>
      </c>
      <c r="E286" s="5" t="n">
        <v>55.77</v>
      </c>
      <c r="F286" s="3" t="s">
        <v>25</v>
      </c>
      <c r="G286" s="5" t="n">
        <v>0</v>
      </c>
      <c r="H286" s="5" t="n">
        <f aca="false">ROUND(ABS(G286)-ABS(E286),2)</f>
        <v>-55.77</v>
      </c>
      <c r="I286" s="3" t="s">
        <v>289</v>
      </c>
      <c r="J286" s="3" t="s">
        <v>45</v>
      </c>
      <c r="K286" s="3"/>
      <c r="L286" s="3" t="s">
        <v>287</v>
      </c>
      <c r="M286" s="3"/>
      <c r="N286" s="3" t="s">
        <v>62</v>
      </c>
    </row>
    <row r="287" customFormat="false" ht="23.25" hidden="false" customHeight="true" outlineLevel="0" collapsed="false">
      <c r="A287" s="3" t="s">
        <v>279</v>
      </c>
      <c r="B287" s="3" t="s">
        <v>279</v>
      </c>
      <c r="C287" s="7" t="s">
        <v>37</v>
      </c>
      <c r="D287" s="3" t="s">
        <v>29</v>
      </c>
      <c r="E287" s="5" t="s">
        <v>37</v>
      </c>
      <c r="F287" s="3" t="s">
        <v>29</v>
      </c>
      <c r="G287" s="5" t="s">
        <v>37</v>
      </c>
      <c r="H287" s="5" t="s">
        <v>37</v>
      </c>
      <c r="I287" s="3" t="s">
        <v>289</v>
      </c>
      <c r="J287" s="3" t="s">
        <v>38</v>
      </c>
      <c r="K287" s="3"/>
      <c r="L287" s="3" t="s">
        <v>39</v>
      </c>
      <c r="M287" s="3"/>
      <c r="N287" s="3" t="s">
        <v>40</v>
      </c>
    </row>
    <row r="288" customFormat="false" ht="15" hidden="false" customHeight="true" outlineLevel="0" collapsed="false">
      <c r="A288" s="3" t="s">
        <v>279</v>
      </c>
      <c r="B288" s="3" t="s">
        <v>279</v>
      </c>
      <c r="C288" s="7" t="s">
        <v>37</v>
      </c>
      <c r="D288" s="3" t="s">
        <v>25</v>
      </c>
      <c r="E288" s="5" t="n">
        <v>153.25</v>
      </c>
      <c r="F288" s="3" t="s">
        <v>25</v>
      </c>
      <c r="G288" s="5" t="s">
        <v>37</v>
      </c>
      <c r="H288" s="5" t="s">
        <v>37</v>
      </c>
      <c r="I288" s="3" t="s">
        <v>70</v>
      </c>
      <c r="J288" s="3" t="s">
        <v>71</v>
      </c>
      <c r="K288" s="3"/>
      <c r="L288" s="3" t="s">
        <v>72</v>
      </c>
      <c r="M288" s="3"/>
      <c r="N288" s="3" t="s">
        <v>73</v>
      </c>
    </row>
    <row r="289" customFormat="false" ht="75.75" hidden="false" customHeight="true" outlineLevel="0" collapsed="false">
      <c r="A289" s="8" t="s">
        <v>279</v>
      </c>
      <c r="B289" s="8" t="s">
        <v>279</v>
      </c>
      <c r="C289" s="8" t="s">
        <v>28</v>
      </c>
      <c r="D289" s="8" t="s">
        <v>47</v>
      </c>
      <c r="E289" s="8" t="s">
        <v>295</v>
      </c>
      <c r="F289" s="8" t="s">
        <v>47</v>
      </c>
      <c r="G289" s="8" t="s">
        <v>18</v>
      </c>
      <c r="H289" s="8"/>
      <c r="I289" s="8" t="s">
        <v>49</v>
      </c>
      <c r="J289" s="8" t="s">
        <v>18</v>
      </c>
      <c r="K289" s="8"/>
      <c r="L289" s="8" t="s">
        <v>280</v>
      </c>
      <c r="M289" s="8" t="s">
        <v>281</v>
      </c>
      <c r="N289" s="8" t="s">
        <v>50</v>
      </c>
    </row>
    <row r="290" customFormat="false" ht="23.25" hidden="false" customHeight="true" outlineLevel="0" collapsed="false">
      <c r="A290" s="3" t="s">
        <v>296</v>
      </c>
      <c r="B290" s="3" t="s">
        <v>296</v>
      </c>
      <c r="C290" s="4" t="s">
        <v>15</v>
      </c>
      <c r="D290" s="3" t="s">
        <v>16</v>
      </c>
      <c r="E290" s="5" t="n">
        <v>8200</v>
      </c>
      <c r="F290" s="3" t="s">
        <v>16</v>
      </c>
      <c r="G290" s="5" t="n">
        <v>8200</v>
      </c>
      <c r="H290" s="5" t="n">
        <f aca="false">ROUND(ABS(G290)-ABS(E290),2)</f>
        <v>0</v>
      </c>
      <c r="I290" s="3" t="s">
        <v>17</v>
      </c>
      <c r="J290" s="3" t="s">
        <v>18</v>
      </c>
      <c r="K290" s="3"/>
      <c r="L290" s="3" t="s">
        <v>297</v>
      </c>
      <c r="M290" s="3" t="s">
        <v>298</v>
      </c>
      <c r="N290" s="3"/>
    </row>
    <row r="291" customFormat="false" ht="23.25" hidden="false" customHeight="true" outlineLevel="0" collapsed="false">
      <c r="A291" s="3" t="s">
        <v>296</v>
      </c>
      <c r="B291" s="3" t="s">
        <v>296</v>
      </c>
      <c r="C291" s="4" t="s">
        <v>15</v>
      </c>
      <c r="D291" s="3" t="s">
        <v>21</v>
      </c>
      <c r="E291" s="5" t="n">
        <v>1906.25</v>
      </c>
      <c r="F291" s="3" t="s">
        <v>21</v>
      </c>
      <c r="G291" s="5" t="n">
        <v>1906.25</v>
      </c>
      <c r="H291" s="5" t="n">
        <f aca="false">ROUND(ABS(G291)-ABS(E291),2)</f>
        <v>0</v>
      </c>
      <c r="I291" s="3" t="s">
        <v>17</v>
      </c>
      <c r="J291" s="3" t="s">
        <v>18</v>
      </c>
      <c r="K291" s="3"/>
      <c r="L291" s="3" t="s">
        <v>297</v>
      </c>
      <c r="M291" s="3" t="s">
        <v>298</v>
      </c>
      <c r="N291" s="3"/>
    </row>
    <row r="292" customFormat="false" ht="23.25" hidden="false" customHeight="true" outlineLevel="0" collapsed="false">
      <c r="A292" s="3" t="s">
        <v>296</v>
      </c>
      <c r="B292" s="3" t="s">
        <v>296</v>
      </c>
      <c r="C292" s="4" t="s">
        <v>15</v>
      </c>
      <c r="D292" s="3" t="s">
        <v>22</v>
      </c>
      <c r="E292" s="5" t="n">
        <v>175</v>
      </c>
      <c r="F292" s="3" t="s">
        <v>22</v>
      </c>
      <c r="G292" s="5" t="n">
        <v>175</v>
      </c>
      <c r="H292" s="5" t="n">
        <f aca="false">ROUND(ABS(G292)-ABS(E292),2)</f>
        <v>0</v>
      </c>
      <c r="I292" s="3" t="s">
        <v>17</v>
      </c>
      <c r="J292" s="3" t="s">
        <v>18</v>
      </c>
      <c r="K292" s="3"/>
      <c r="L292" s="3" t="s">
        <v>297</v>
      </c>
      <c r="M292" s="3" t="s">
        <v>298</v>
      </c>
      <c r="N292" s="3" t="s">
        <v>23</v>
      </c>
    </row>
    <row r="293" customFormat="false" ht="23.25" hidden="false" customHeight="true" outlineLevel="0" collapsed="false">
      <c r="A293" s="3" t="s">
        <v>296</v>
      </c>
      <c r="B293" s="3" t="s">
        <v>296</v>
      </c>
      <c r="C293" s="4" t="s">
        <v>15</v>
      </c>
      <c r="D293" s="3" t="s">
        <v>24</v>
      </c>
      <c r="E293" s="5" t="n">
        <v>3539.69</v>
      </c>
      <c r="F293" s="3" t="s">
        <v>24</v>
      </c>
      <c r="G293" s="5" t="n">
        <v>3539.69</v>
      </c>
      <c r="H293" s="5" t="n">
        <f aca="false">ROUND(ABS(G293)-ABS(E293),2)</f>
        <v>0</v>
      </c>
      <c r="I293" s="3" t="s">
        <v>17</v>
      </c>
      <c r="J293" s="3" t="s">
        <v>18</v>
      </c>
      <c r="K293" s="3"/>
      <c r="L293" s="3" t="s">
        <v>297</v>
      </c>
      <c r="M293" s="3" t="s">
        <v>298</v>
      </c>
      <c r="N293" s="3"/>
    </row>
    <row r="294" customFormat="false" ht="23.25" hidden="false" customHeight="true" outlineLevel="0" collapsed="false">
      <c r="A294" s="3" t="s">
        <v>296</v>
      </c>
      <c r="B294" s="3" t="s">
        <v>296</v>
      </c>
      <c r="C294" s="4" t="s">
        <v>15</v>
      </c>
      <c r="D294" s="3" t="s">
        <v>25</v>
      </c>
      <c r="E294" s="5" t="n">
        <v>121.7</v>
      </c>
      <c r="F294" s="3" t="s">
        <v>25</v>
      </c>
      <c r="G294" s="5" t="n">
        <v>121.7</v>
      </c>
      <c r="H294" s="5" t="n">
        <f aca="false">ROUND(ABS(G294)-ABS(E294),2)</f>
        <v>0</v>
      </c>
      <c r="I294" s="3" t="s">
        <v>17</v>
      </c>
      <c r="J294" s="3" t="s">
        <v>18</v>
      </c>
      <c r="K294" s="3"/>
      <c r="L294" s="3" t="s">
        <v>297</v>
      </c>
      <c r="M294" s="3" t="s">
        <v>298</v>
      </c>
      <c r="N294" s="3"/>
    </row>
    <row r="295" customFormat="false" ht="23.25" hidden="false" customHeight="true" outlineLevel="0" collapsed="false">
      <c r="A295" s="3" t="s">
        <v>296</v>
      </c>
      <c r="B295" s="3" t="s">
        <v>296</v>
      </c>
      <c r="C295" s="4" t="s">
        <v>15</v>
      </c>
      <c r="D295" s="3" t="s">
        <v>26</v>
      </c>
      <c r="E295" s="5" t="n">
        <v>0</v>
      </c>
      <c r="F295" s="3" t="s">
        <v>26</v>
      </c>
      <c r="G295" s="5" t="n">
        <v>0</v>
      </c>
      <c r="H295" s="5" t="n">
        <f aca="false">ROUND(ABS(G295)-ABS(E295),2)</f>
        <v>0</v>
      </c>
      <c r="I295" s="3" t="s">
        <v>17</v>
      </c>
      <c r="J295" s="3" t="s">
        <v>18</v>
      </c>
      <c r="K295" s="3"/>
      <c r="L295" s="3" t="s">
        <v>297</v>
      </c>
      <c r="M295" s="3" t="s">
        <v>298</v>
      </c>
      <c r="N295" s="3" t="s">
        <v>27</v>
      </c>
    </row>
    <row r="296" customFormat="false" ht="23.25" hidden="false" customHeight="true" outlineLevel="0" collapsed="false">
      <c r="A296" s="3" t="s">
        <v>296</v>
      </c>
      <c r="B296" s="3" t="s">
        <v>296</v>
      </c>
      <c r="C296" s="6" t="s">
        <v>28</v>
      </c>
      <c r="D296" s="3" t="s">
        <v>29</v>
      </c>
      <c r="E296" s="5" t="n">
        <v>2284.86</v>
      </c>
      <c r="F296" s="3" t="s">
        <v>29</v>
      </c>
      <c r="G296" s="5" t="n">
        <v>-1204.03</v>
      </c>
      <c r="H296" s="5" t="n">
        <f aca="false">ROUND(ABS(G296)-ABS(E296),2)</f>
        <v>-1080.83</v>
      </c>
      <c r="I296" s="3" t="s">
        <v>17</v>
      </c>
      <c r="J296" s="3" t="s">
        <v>18</v>
      </c>
      <c r="K296" s="3"/>
      <c r="L296" s="3" t="s">
        <v>297</v>
      </c>
      <c r="M296" s="3" t="s">
        <v>298</v>
      </c>
      <c r="N296" s="3" t="s">
        <v>30</v>
      </c>
    </row>
    <row r="297" customFormat="false" ht="34.5" hidden="false" customHeight="true" outlineLevel="0" collapsed="false">
      <c r="A297" s="3" t="s">
        <v>296</v>
      </c>
      <c r="B297" s="3" t="s">
        <v>296</v>
      </c>
      <c r="C297" s="4" t="s">
        <v>15</v>
      </c>
      <c r="D297" s="3" t="s">
        <v>16</v>
      </c>
      <c r="E297" s="5" t="n">
        <v>4900</v>
      </c>
      <c r="F297" s="3" t="s">
        <v>16</v>
      </c>
      <c r="G297" s="5" t="n">
        <v>4900</v>
      </c>
      <c r="H297" s="5" t="n">
        <f aca="false">ROUND(ABS(G297)-ABS(E297),2)</f>
        <v>0</v>
      </c>
      <c r="I297" s="3" t="s">
        <v>299</v>
      </c>
      <c r="J297" s="3"/>
      <c r="K297" s="3"/>
      <c r="L297" s="3" t="s">
        <v>300</v>
      </c>
      <c r="M297" s="3" t="s">
        <v>301</v>
      </c>
      <c r="N297" s="3"/>
    </row>
    <row r="298" customFormat="false" ht="34.5" hidden="false" customHeight="true" outlineLevel="0" collapsed="false">
      <c r="A298" s="3" t="s">
        <v>296</v>
      </c>
      <c r="B298" s="3" t="s">
        <v>296</v>
      </c>
      <c r="C298" s="4" t="s">
        <v>15</v>
      </c>
      <c r="D298" s="3" t="s">
        <v>21</v>
      </c>
      <c r="E298" s="5" t="n">
        <v>945.1</v>
      </c>
      <c r="F298" s="3" t="s">
        <v>21</v>
      </c>
      <c r="G298" s="5" t="n">
        <v>945.1</v>
      </c>
      <c r="H298" s="5" t="n">
        <f aca="false">ROUND(ABS(G298)-ABS(E298),2)</f>
        <v>0</v>
      </c>
      <c r="I298" s="3" t="s">
        <v>299</v>
      </c>
      <c r="J298" s="3"/>
      <c r="K298" s="3"/>
      <c r="L298" s="3" t="s">
        <v>300</v>
      </c>
      <c r="M298" s="3" t="s">
        <v>302</v>
      </c>
      <c r="N298" s="3"/>
    </row>
    <row r="299" customFormat="false" ht="34.5" hidden="false" customHeight="true" outlineLevel="0" collapsed="false">
      <c r="A299" s="3" t="s">
        <v>296</v>
      </c>
      <c r="B299" s="3" t="s">
        <v>296</v>
      </c>
      <c r="C299" s="4" t="s">
        <v>15</v>
      </c>
      <c r="D299" s="3" t="s">
        <v>22</v>
      </c>
      <c r="E299" s="5" t="n">
        <v>50</v>
      </c>
      <c r="F299" s="3" t="s">
        <v>22</v>
      </c>
      <c r="G299" s="5" t="n">
        <v>50</v>
      </c>
      <c r="H299" s="5" t="n">
        <f aca="false">ROUND(ABS(G299)-ABS(E299),2)</f>
        <v>0</v>
      </c>
      <c r="I299" s="3" t="s">
        <v>299</v>
      </c>
      <c r="J299" s="3"/>
      <c r="K299" s="3"/>
      <c r="L299" s="3" t="s">
        <v>303</v>
      </c>
      <c r="M299" s="3" t="s">
        <v>304</v>
      </c>
      <c r="N299" s="3"/>
    </row>
    <row r="300" customFormat="false" ht="34.5" hidden="false" customHeight="true" outlineLevel="0" collapsed="false">
      <c r="A300" s="3" t="s">
        <v>296</v>
      </c>
      <c r="B300" s="3" t="s">
        <v>296</v>
      </c>
      <c r="C300" s="4" t="s">
        <v>15</v>
      </c>
      <c r="D300" s="3" t="s">
        <v>24</v>
      </c>
      <c r="E300" s="5" t="n">
        <v>1875.13</v>
      </c>
      <c r="F300" s="3" t="s">
        <v>24</v>
      </c>
      <c r="G300" s="5" t="n">
        <v>1875.13</v>
      </c>
      <c r="H300" s="5" t="n">
        <f aca="false">ROUND(ABS(G300)-ABS(E300),2)</f>
        <v>0</v>
      </c>
      <c r="I300" s="3" t="s">
        <v>299</v>
      </c>
      <c r="J300" s="3"/>
      <c r="K300" s="3"/>
      <c r="L300" s="3" t="s">
        <v>300</v>
      </c>
      <c r="M300" s="3" t="s">
        <v>305</v>
      </c>
      <c r="N300" s="3"/>
    </row>
    <row r="301" customFormat="false" ht="23.25" hidden="false" customHeight="true" outlineLevel="0" collapsed="false">
      <c r="A301" s="3" t="s">
        <v>296</v>
      </c>
      <c r="B301" s="3" t="s">
        <v>296</v>
      </c>
      <c r="C301" s="7" t="s">
        <v>37</v>
      </c>
      <c r="D301" s="3" t="s">
        <v>25</v>
      </c>
      <c r="E301" s="5" t="n">
        <v>0</v>
      </c>
      <c r="F301" s="3" t="s">
        <v>25</v>
      </c>
      <c r="G301" s="5" t="n">
        <v>121.7</v>
      </c>
      <c r="H301" s="5" t="n">
        <f aca="false">ROUND(ABS(G301)-ABS(E301),2)</f>
        <v>121.7</v>
      </c>
      <c r="I301" s="3" t="s">
        <v>299</v>
      </c>
      <c r="J301" s="3"/>
      <c r="K301" s="3"/>
      <c r="L301" s="3" t="s">
        <v>306</v>
      </c>
      <c r="M301" s="3" t="s">
        <v>307</v>
      </c>
      <c r="N301" s="3" t="s">
        <v>62</v>
      </c>
    </row>
    <row r="302" customFormat="false" ht="23.25" hidden="false" customHeight="true" outlineLevel="0" collapsed="false">
      <c r="A302" s="3" t="s">
        <v>296</v>
      </c>
      <c r="B302" s="3" t="s">
        <v>296</v>
      </c>
      <c r="C302" s="7" t="s">
        <v>37</v>
      </c>
      <c r="D302" s="3" t="s">
        <v>29</v>
      </c>
      <c r="E302" s="5" t="s">
        <v>37</v>
      </c>
      <c r="F302" s="3" t="s">
        <v>29</v>
      </c>
      <c r="G302" s="5" t="s">
        <v>37</v>
      </c>
      <c r="H302" s="5" t="s">
        <v>37</v>
      </c>
      <c r="I302" s="3" t="s">
        <v>299</v>
      </c>
      <c r="J302" s="3" t="s">
        <v>38</v>
      </c>
      <c r="K302" s="3"/>
      <c r="L302" s="3" t="s">
        <v>39</v>
      </c>
      <c r="M302" s="3"/>
      <c r="N302" s="3" t="s">
        <v>40</v>
      </c>
    </row>
    <row r="303" customFormat="false" ht="34.5" hidden="false" customHeight="true" outlineLevel="0" collapsed="false">
      <c r="A303" s="3" t="s">
        <v>296</v>
      </c>
      <c r="B303" s="3" t="s">
        <v>296</v>
      </c>
      <c r="C303" s="4" t="s">
        <v>15</v>
      </c>
      <c r="D303" s="3" t="s">
        <v>16</v>
      </c>
      <c r="E303" s="5" t="n">
        <v>3300</v>
      </c>
      <c r="F303" s="3" t="s">
        <v>16</v>
      </c>
      <c r="G303" s="5" t="n">
        <v>3300</v>
      </c>
      <c r="H303" s="5" t="n">
        <f aca="false">ROUND(ABS(G303)-ABS(E303),2)</f>
        <v>0</v>
      </c>
      <c r="I303" s="3" t="s">
        <v>308</v>
      </c>
      <c r="J303" s="3"/>
      <c r="K303" s="3"/>
      <c r="L303" s="3" t="s">
        <v>300</v>
      </c>
      <c r="M303" s="3" t="s">
        <v>309</v>
      </c>
      <c r="N303" s="3"/>
    </row>
    <row r="304" customFormat="false" ht="34.5" hidden="false" customHeight="true" outlineLevel="0" collapsed="false">
      <c r="A304" s="3" t="s">
        <v>296</v>
      </c>
      <c r="B304" s="3" t="s">
        <v>296</v>
      </c>
      <c r="C304" s="4" t="s">
        <v>15</v>
      </c>
      <c r="D304" s="3" t="s">
        <v>21</v>
      </c>
      <c r="E304" s="5" t="n">
        <v>961.15</v>
      </c>
      <c r="F304" s="3" t="s">
        <v>21</v>
      </c>
      <c r="G304" s="5" t="n">
        <v>961.15</v>
      </c>
      <c r="H304" s="5" t="n">
        <f aca="false">ROUND(ABS(G304)-ABS(E304),2)</f>
        <v>0</v>
      </c>
      <c r="I304" s="3" t="s">
        <v>308</v>
      </c>
      <c r="J304" s="3"/>
      <c r="K304" s="3"/>
      <c r="L304" s="3" t="s">
        <v>300</v>
      </c>
      <c r="M304" s="3" t="s">
        <v>310</v>
      </c>
      <c r="N304" s="3"/>
    </row>
    <row r="305" customFormat="false" ht="34.5" hidden="false" customHeight="true" outlineLevel="0" collapsed="false">
      <c r="A305" s="3" t="s">
        <v>296</v>
      </c>
      <c r="B305" s="3" t="s">
        <v>296</v>
      </c>
      <c r="C305" s="4" t="s">
        <v>15</v>
      </c>
      <c r="D305" s="3" t="s">
        <v>22</v>
      </c>
      <c r="E305" s="5" t="n">
        <v>125</v>
      </c>
      <c r="F305" s="3" t="s">
        <v>22</v>
      </c>
      <c r="G305" s="5" t="n">
        <v>125</v>
      </c>
      <c r="H305" s="5" t="n">
        <f aca="false">ROUND(ABS(G305)-ABS(E305),2)</f>
        <v>0</v>
      </c>
      <c r="I305" s="3" t="s">
        <v>308</v>
      </c>
      <c r="J305" s="3"/>
      <c r="K305" s="3"/>
      <c r="L305" s="3" t="s">
        <v>303</v>
      </c>
      <c r="M305" s="3" t="s">
        <v>311</v>
      </c>
      <c r="N305" s="3"/>
    </row>
    <row r="306" customFormat="false" ht="34.5" hidden="false" customHeight="true" outlineLevel="0" collapsed="false">
      <c r="A306" s="3" t="s">
        <v>296</v>
      </c>
      <c r="B306" s="3" t="s">
        <v>296</v>
      </c>
      <c r="C306" s="4" t="s">
        <v>15</v>
      </c>
      <c r="D306" s="3" t="s">
        <v>24</v>
      </c>
      <c r="E306" s="5" t="n">
        <v>1664.56</v>
      </c>
      <c r="F306" s="3" t="s">
        <v>24</v>
      </c>
      <c r="G306" s="5" t="n">
        <v>1664.56</v>
      </c>
      <c r="H306" s="5" t="n">
        <f aca="false">ROUND(ABS(G306)-ABS(E306),2)</f>
        <v>0</v>
      </c>
      <c r="I306" s="3" t="s">
        <v>308</v>
      </c>
      <c r="J306" s="3"/>
      <c r="K306" s="3"/>
      <c r="L306" s="3" t="s">
        <v>300</v>
      </c>
      <c r="M306" s="3" t="s">
        <v>312</v>
      </c>
      <c r="N306" s="3"/>
    </row>
    <row r="307" customFormat="false" ht="34.5" hidden="false" customHeight="true" outlineLevel="0" collapsed="false">
      <c r="A307" s="3" t="s">
        <v>296</v>
      </c>
      <c r="B307" s="3" t="s">
        <v>296</v>
      </c>
      <c r="C307" s="6" t="s">
        <v>28</v>
      </c>
      <c r="D307" s="3" t="s">
        <v>25</v>
      </c>
      <c r="E307" s="5" t="n">
        <v>40.25</v>
      </c>
      <c r="F307" s="3" t="s">
        <v>25</v>
      </c>
      <c r="G307" s="5" t="n">
        <v>0</v>
      </c>
      <c r="H307" s="5" t="n">
        <f aca="false">ROUND(ABS(G307)-ABS(E307),2)</f>
        <v>-40.25</v>
      </c>
      <c r="I307" s="3" t="s">
        <v>308</v>
      </c>
      <c r="J307" s="3" t="s">
        <v>45</v>
      </c>
      <c r="K307" s="3"/>
      <c r="L307" s="3" t="s">
        <v>313</v>
      </c>
      <c r="M307" s="3"/>
      <c r="N307" s="3" t="s">
        <v>62</v>
      </c>
    </row>
    <row r="308" customFormat="false" ht="23.25" hidden="false" customHeight="true" outlineLevel="0" collapsed="false">
      <c r="A308" s="3" t="s">
        <v>296</v>
      </c>
      <c r="B308" s="3" t="s">
        <v>296</v>
      </c>
      <c r="C308" s="7" t="s">
        <v>37</v>
      </c>
      <c r="D308" s="3" t="s">
        <v>29</v>
      </c>
      <c r="E308" s="5" t="s">
        <v>37</v>
      </c>
      <c r="F308" s="3" t="s">
        <v>29</v>
      </c>
      <c r="G308" s="5" t="s">
        <v>37</v>
      </c>
      <c r="H308" s="5" t="s">
        <v>37</v>
      </c>
      <c r="I308" s="3" t="s">
        <v>308</v>
      </c>
      <c r="J308" s="3" t="s">
        <v>38</v>
      </c>
      <c r="K308" s="3"/>
      <c r="L308" s="3" t="s">
        <v>39</v>
      </c>
      <c r="M308" s="3"/>
      <c r="N308" s="3" t="s">
        <v>40</v>
      </c>
    </row>
    <row r="309" customFormat="false" ht="15" hidden="false" customHeight="true" outlineLevel="0" collapsed="false">
      <c r="A309" s="3" t="s">
        <v>296</v>
      </c>
      <c r="B309" s="3" t="s">
        <v>296</v>
      </c>
      <c r="C309" s="7" t="s">
        <v>37</v>
      </c>
      <c r="D309" s="3" t="s">
        <v>25</v>
      </c>
      <c r="E309" s="5" t="n">
        <v>81.45</v>
      </c>
      <c r="F309" s="3" t="s">
        <v>25</v>
      </c>
      <c r="G309" s="5" t="s">
        <v>37</v>
      </c>
      <c r="H309" s="5" t="s">
        <v>37</v>
      </c>
      <c r="I309" s="3" t="s">
        <v>70</v>
      </c>
      <c r="J309" s="3" t="s">
        <v>71</v>
      </c>
      <c r="K309" s="3"/>
      <c r="L309" s="3" t="s">
        <v>72</v>
      </c>
      <c r="M309" s="3"/>
      <c r="N309" s="3" t="s">
        <v>73</v>
      </c>
    </row>
    <row r="310" customFormat="false" ht="75.75" hidden="false" customHeight="true" outlineLevel="0" collapsed="false">
      <c r="A310" s="8" t="s">
        <v>296</v>
      </c>
      <c r="B310" s="8" t="s">
        <v>296</v>
      </c>
      <c r="C310" s="8" t="s">
        <v>28</v>
      </c>
      <c r="D310" s="8" t="s">
        <v>47</v>
      </c>
      <c r="E310" s="8" t="s">
        <v>314</v>
      </c>
      <c r="F310" s="8" t="s">
        <v>47</v>
      </c>
      <c r="G310" s="8" t="s">
        <v>18</v>
      </c>
      <c r="H310" s="8"/>
      <c r="I310" s="8" t="s">
        <v>49</v>
      </c>
      <c r="J310" s="8" t="s">
        <v>18</v>
      </c>
      <c r="K310" s="8"/>
      <c r="L310" s="8" t="s">
        <v>297</v>
      </c>
      <c r="M310" s="8" t="s">
        <v>298</v>
      </c>
      <c r="N310" s="8" t="s">
        <v>50</v>
      </c>
    </row>
    <row r="311" customFormat="false" ht="23.25" hidden="false" customHeight="true" outlineLevel="0" collapsed="false">
      <c r="A311" s="3" t="s">
        <v>315</v>
      </c>
      <c r="B311" s="3" t="s">
        <v>315</v>
      </c>
      <c r="C311" s="4" t="s">
        <v>15</v>
      </c>
      <c r="D311" s="3" t="s">
        <v>16</v>
      </c>
      <c r="E311" s="5" t="n">
        <v>10600</v>
      </c>
      <c r="F311" s="3" t="s">
        <v>16</v>
      </c>
      <c r="G311" s="5" t="n">
        <v>10600</v>
      </c>
      <c r="H311" s="5" t="n">
        <f aca="false">ROUND(ABS(G311)-ABS(E311),2)</f>
        <v>0</v>
      </c>
      <c r="I311" s="3" t="s">
        <v>17</v>
      </c>
      <c r="J311" s="3" t="s">
        <v>18</v>
      </c>
      <c r="K311" s="3"/>
      <c r="L311" s="3" t="s">
        <v>316</v>
      </c>
      <c r="M311" s="3" t="s">
        <v>317</v>
      </c>
      <c r="N311" s="3"/>
    </row>
    <row r="312" customFormat="false" ht="23.25" hidden="false" customHeight="true" outlineLevel="0" collapsed="false">
      <c r="A312" s="3" t="s">
        <v>315</v>
      </c>
      <c r="B312" s="3" t="s">
        <v>315</v>
      </c>
      <c r="C312" s="4" t="s">
        <v>15</v>
      </c>
      <c r="D312" s="3" t="s">
        <v>21</v>
      </c>
      <c r="E312" s="5" t="n">
        <v>1662.94</v>
      </c>
      <c r="F312" s="3" t="s">
        <v>21</v>
      </c>
      <c r="G312" s="5" t="n">
        <v>1662.94</v>
      </c>
      <c r="H312" s="5" t="n">
        <f aca="false">ROUND(ABS(G312)-ABS(E312),2)</f>
        <v>0</v>
      </c>
      <c r="I312" s="3" t="s">
        <v>17</v>
      </c>
      <c r="J312" s="3" t="s">
        <v>18</v>
      </c>
      <c r="K312" s="3"/>
      <c r="L312" s="3" t="s">
        <v>316</v>
      </c>
      <c r="M312" s="3" t="s">
        <v>317</v>
      </c>
      <c r="N312" s="3"/>
    </row>
    <row r="313" customFormat="false" ht="23.25" hidden="false" customHeight="true" outlineLevel="0" collapsed="false">
      <c r="A313" s="3" t="s">
        <v>315</v>
      </c>
      <c r="B313" s="3" t="s">
        <v>315</v>
      </c>
      <c r="C313" s="4" t="s">
        <v>15</v>
      </c>
      <c r="D313" s="3" t="s">
        <v>22</v>
      </c>
      <c r="E313" s="5" t="n">
        <v>174.34</v>
      </c>
      <c r="F313" s="3" t="s">
        <v>22</v>
      </c>
      <c r="G313" s="5" t="n">
        <v>174.34</v>
      </c>
      <c r="H313" s="5" t="n">
        <f aca="false">ROUND(ABS(G313)-ABS(E313),2)</f>
        <v>0</v>
      </c>
      <c r="I313" s="3" t="s">
        <v>17</v>
      </c>
      <c r="J313" s="3" t="s">
        <v>18</v>
      </c>
      <c r="K313" s="3"/>
      <c r="L313" s="3" t="s">
        <v>316</v>
      </c>
      <c r="M313" s="3" t="s">
        <v>317</v>
      </c>
      <c r="N313" s="3" t="s">
        <v>23</v>
      </c>
    </row>
    <row r="314" customFormat="false" ht="23.25" hidden="false" customHeight="true" outlineLevel="0" collapsed="false">
      <c r="A314" s="3" t="s">
        <v>315</v>
      </c>
      <c r="B314" s="3" t="s">
        <v>315</v>
      </c>
      <c r="C314" s="4" t="s">
        <v>15</v>
      </c>
      <c r="D314" s="3" t="s">
        <v>24</v>
      </c>
      <c r="E314" s="5" t="n">
        <v>5547.73</v>
      </c>
      <c r="F314" s="3" t="s">
        <v>24</v>
      </c>
      <c r="G314" s="5" t="n">
        <v>5547.73</v>
      </c>
      <c r="H314" s="5" t="n">
        <f aca="false">ROUND(ABS(G314)-ABS(E314),2)</f>
        <v>0</v>
      </c>
      <c r="I314" s="3" t="s">
        <v>17</v>
      </c>
      <c r="J314" s="3" t="s">
        <v>18</v>
      </c>
      <c r="K314" s="3"/>
      <c r="L314" s="3" t="s">
        <v>316</v>
      </c>
      <c r="M314" s="3" t="s">
        <v>317</v>
      </c>
      <c r="N314" s="3"/>
    </row>
    <row r="315" customFormat="false" ht="23.25" hidden="false" customHeight="true" outlineLevel="0" collapsed="false">
      <c r="A315" s="3" t="s">
        <v>315</v>
      </c>
      <c r="B315" s="3" t="s">
        <v>315</v>
      </c>
      <c r="C315" s="4" t="s">
        <v>15</v>
      </c>
      <c r="D315" s="3" t="s">
        <v>25</v>
      </c>
      <c r="E315" s="5" t="n">
        <v>373.06</v>
      </c>
      <c r="F315" s="3" t="s">
        <v>25</v>
      </c>
      <c r="G315" s="5" t="n">
        <v>373.06</v>
      </c>
      <c r="H315" s="5" t="n">
        <f aca="false">ROUND(ABS(G315)-ABS(E315),2)</f>
        <v>0</v>
      </c>
      <c r="I315" s="3" t="s">
        <v>17</v>
      </c>
      <c r="J315" s="3" t="s">
        <v>18</v>
      </c>
      <c r="K315" s="3"/>
      <c r="L315" s="3" t="s">
        <v>316</v>
      </c>
      <c r="M315" s="3" t="s">
        <v>317</v>
      </c>
      <c r="N315" s="3"/>
    </row>
    <row r="316" customFormat="false" ht="23.25" hidden="false" customHeight="true" outlineLevel="0" collapsed="false">
      <c r="A316" s="3" t="s">
        <v>315</v>
      </c>
      <c r="B316" s="3" t="s">
        <v>315</v>
      </c>
      <c r="C316" s="4" t="s">
        <v>15</v>
      </c>
      <c r="D316" s="3" t="s">
        <v>26</v>
      </c>
      <c r="E316" s="5" t="n">
        <v>0</v>
      </c>
      <c r="F316" s="3" t="s">
        <v>26</v>
      </c>
      <c r="G316" s="5" t="n">
        <v>0</v>
      </c>
      <c r="H316" s="5" t="n">
        <f aca="false">ROUND(ABS(G316)-ABS(E316),2)</f>
        <v>0</v>
      </c>
      <c r="I316" s="3" t="s">
        <v>17</v>
      </c>
      <c r="J316" s="3" t="s">
        <v>18</v>
      </c>
      <c r="K316" s="3"/>
      <c r="L316" s="3" t="s">
        <v>316</v>
      </c>
      <c r="M316" s="3" t="s">
        <v>317</v>
      </c>
      <c r="N316" s="3" t="s">
        <v>27</v>
      </c>
    </row>
    <row r="317" customFormat="false" ht="23.25" hidden="false" customHeight="true" outlineLevel="0" collapsed="false">
      <c r="A317" s="3" t="s">
        <v>315</v>
      </c>
      <c r="B317" s="3" t="s">
        <v>315</v>
      </c>
      <c r="C317" s="6" t="s">
        <v>28</v>
      </c>
      <c r="D317" s="3" t="s">
        <v>29</v>
      </c>
      <c r="E317" s="5" t="n">
        <v>2938.77</v>
      </c>
      <c r="F317" s="3" t="s">
        <v>29</v>
      </c>
      <c r="G317" s="5" t="n">
        <v>-5517.91</v>
      </c>
      <c r="H317" s="5" t="n">
        <f aca="false">ROUND(ABS(G317)-ABS(E317),2)</f>
        <v>2579.14</v>
      </c>
      <c r="I317" s="3" t="s">
        <v>17</v>
      </c>
      <c r="J317" s="3" t="s">
        <v>18</v>
      </c>
      <c r="K317" s="3"/>
      <c r="L317" s="3" t="s">
        <v>316</v>
      </c>
      <c r="M317" s="3" t="s">
        <v>317</v>
      </c>
      <c r="N317" s="3" t="s">
        <v>30</v>
      </c>
    </row>
    <row r="318" customFormat="false" ht="34.5" hidden="false" customHeight="true" outlineLevel="0" collapsed="false">
      <c r="A318" s="3" t="s">
        <v>315</v>
      </c>
      <c r="B318" s="3" t="s">
        <v>315</v>
      </c>
      <c r="C318" s="4" t="s">
        <v>15</v>
      </c>
      <c r="D318" s="3" t="s">
        <v>16</v>
      </c>
      <c r="E318" s="5" t="n">
        <v>3500</v>
      </c>
      <c r="F318" s="3" t="s">
        <v>16</v>
      </c>
      <c r="G318" s="5" t="n">
        <v>3500</v>
      </c>
      <c r="H318" s="5" t="n">
        <f aca="false">ROUND(ABS(G318)-ABS(E318),2)</f>
        <v>0</v>
      </c>
      <c r="I318" s="3" t="s">
        <v>318</v>
      </c>
      <c r="J318" s="3"/>
      <c r="K318" s="3"/>
      <c r="L318" s="3" t="s">
        <v>319</v>
      </c>
      <c r="M318" s="3" t="s">
        <v>320</v>
      </c>
      <c r="N318" s="3"/>
    </row>
    <row r="319" customFormat="false" ht="34.5" hidden="false" customHeight="true" outlineLevel="0" collapsed="false">
      <c r="A319" s="3" t="s">
        <v>315</v>
      </c>
      <c r="B319" s="3" t="s">
        <v>315</v>
      </c>
      <c r="C319" s="4" t="s">
        <v>15</v>
      </c>
      <c r="D319" s="3" t="s">
        <v>21</v>
      </c>
      <c r="E319" s="5" t="n">
        <v>567.17</v>
      </c>
      <c r="F319" s="3" t="s">
        <v>21</v>
      </c>
      <c r="G319" s="5" t="n">
        <v>567.17</v>
      </c>
      <c r="H319" s="5" t="n">
        <f aca="false">ROUND(ABS(G319)-ABS(E319),2)</f>
        <v>0</v>
      </c>
      <c r="I319" s="3" t="s">
        <v>318</v>
      </c>
      <c r="J319" s="3"/>
      <c r="K319" s="3"/>
      <c r="L319" s="3" t="s">
        <v>319</v>
      </c>
      <c r="M319" s="3" t="s">
        <v>321</v>
      </c>
      <c r="N319" s="3"/>
    </row>
    <row r="320" customFormat="false" ht="34.5" hidden="false" customHeight="true" outlineLevel="0" collapsed="false">
      <c r="A320" s="3" t="s">
        <v>315</v>
      </c>
      <c r="B320" s="3" t="s">
        <v>315</v>
      </c>
      <c r="C320" s="4" t="s">
        <v>15</v>
      </c>
      <c r="D320" s="3" t="s">
        <v>22</v>
      </c>
      <c r="E320" s="5" t="n">
        <v>55.21</v>
      </c>
      <c r="F320" s="3" t="s">
        <v>22</v>
      </c>
      <c r="G320" s="5" t="n">
        <v>55.21</v>
      </c>
      <c r="H320" s="5" t="n">
        <f aca="false">ROUND(ABS(G320)-ABS(E320),2)</f>
        <v>0</v>
      </c>
      <c r="I320" s="3" t="s">
        <v>318</v>
      </c>
      <c r="J320" s="3"/>
      <c r="K320" s="3"/>
      <c r="L320" s="3" t="s">
        <v>322</v>
      </c>
      <c r="M320" s="3" t="s">
        <v>323</v>
      </c>
      <c r="N320" s="3"/>
    </row>
    <row r="321" customFormat="false" ht="34.5" hidden="false" customHeight="true" outlineLevel="0" collapsed="false">
      <c r="A321" s="3" t="s">
        <v>315</v>
      </c>
      <c r="B321" s="3" t="s">
        <v>315</v>
      </c>
      <c r="C321" s="4" t="s">
        <v>15</v>
      </c>
      <c r="D321" s="3" t="s">
        <v>24</v>
      </c>
      <c r="E321" s="5" t="n">
        <v>1821.39</v>
      </c>
      <c r="F321" s="3" t="s">
        <v>24</v>
      </c>
      <c r="G321" s="5" t="n">
        <v>1821.39</v>
      </c>
      <c r="H321" s="5" t="n">
        <f aca="false">ROUND(ABS(G321)-ABS(E321),2)</f>
        <v>0</v>
      </c>
      <c r="I321" s="3" t="s">
        <v>318</v>
      </c>
      <c r="J321" s="3"/>
      <c r="K321" s="3"/>
      <c r="L321" s="3" t="s">
        <v>319</v>
      </c>
      <c r="M321" s="3" t="s">
        <v>324</v>
      </c>
      <c r="N321" s="3"/>
    </row>
    <row r="322" customFormat="false" ht="34.5" hidden="false" customHeight="true" outlineLevel="0" collapsed="false">
      <c r="A322" s="3" t="s">
        <v>315</v>
      </c>
      <c r="B322" s="3" t="s">
        <v>315</v>
      </c>
      <c r="C322" s="6" t="s">
        <v>28</v>
      </c>
      <c r="D322" s="3" t="s">
        <v>25</v>
      </c>
      <c r="E322" s="5" t="n">
        <v>69.85</v>
      </c>
      <c r="F322" s="3" t="s">
        <v>25</v>
      </c>
      <c r="G322" s="5" t="n">
        <v>0</v>
      </c>
      <c r="H322" s="5" t="n">
        <f aca="false">ROUND(ABS(G322)-ABS(E322),2)</f>
        <v>-69.85</v>
      </c>
      <c r="I322" s="3" t="s">
        <v>318</v>
      </c>
      <c r="J322" s="3" t="s">
        <v>45</v>
      </c>
      <c r="K322" s="3"/>
      <c r="L322" s="3" t="s">
        <v>325</v>
      </c>
      <c r="M322" s="3"/>
      <c r="N322" s="3" t="s">
        <v>62</v>
      </c>
    </row>
    <row r="323" customFormat="false" ht="23.25" hidden="false" customHeight="true" outlineLevel="0" collapsed="false">
      <c r="A323" s="3" t="s">
        <v>315</v>
      </c>
      <c r="B323" s="3" t="s">
        <v>315</v>
      </c>
      <c r="C323" s="7" t="s">
        <v>37</v>
      </c>
      <c r="D323" s="3" t="s">
        <v>29</v>
      </c>
      <c r="E323" s="5" t="s">
        <v>37</v>
      </c>
      <c r="F323" s="3" t="s">
        <v>29</v>
      </c>
      <c r="G323" s="5" t="s">
        <v>37</v>
      </c>
      <c r="H323" s="5" t="s">
        <v>37</v>
      </c>
      <c r="I323" s="3" t="s">
        <v>318</v>
      </c>
      <c r="J323" s="3" t="s">
        <v>38</v>
      </c>
      <c r="K323" s="3"/>
      <c r="L323" s="3" t="s">
        <v>39</v>
      </c>
      <c r="M323" s="3"/>
      <c r="N323" s="3" t="s">
        <v>40</v>
      </c>
    </row>
    <row r="324" customFormat="false" ht="34.5" hidden="false" customHeight="true" outlineLevel="0" collapsed="false">
      <c r="A324" s="3" t="s">
        <v>315</v>
      </c>
      <c r="B324" s="3" t="s">
        <v>315</v>
      </c>
      <c r="C324" s="4" t="s">
        <v>15</v>
      </c>
      <c r="D324" s="3" t="s">
        <v>16</v>
      </c>
      <c r="E324" s="5" t="n">
        <v>3100</v>
      </c>
      <c r="F324" s="3" t="s">
        <v>16</v>
      </c>
      <c r="G324" s="5" t="n">
        <v>3100</v>
      </c>
      <c r="H324" s="5" t="n">
        <f aca="false">ROUND(ABS(G324)-ABS(E324),2)</f>
        <v>0</v>
      </c>
      <c r="I324" s="3" t="s">
        <v>326</v>
      </c>
      <c r="J324" s="3"/>
      <c r="K324" s="3"/>
      <c r="L324" s="3" t="s">
        <v>319</v>
      </c>
      <c r="M324" s="3" t="s">
        <v>327</v>
      </c>
      <c r="N324" s="3"/>
    </row>
    <row r="325" customFormat="false" ht="34.5" hidden="false" customHeight="true" outlineLevel="0" collapsed="false">
      <c r="A325" s="3" t="s">
        <v>315</v>
      </c>
      <c r="B325" s="3" t="s">
        <v>315</v>
      </c>
      <c r="C325" s="4" t="s">
        <v>15</v>
      </c>
      <c r="D325" s="3" t="s">
        <v>21</v>
      </c>
      <c r="E325" s="5" t="n">
        <v>285.39</v>
      </c>
      <c r="F325" s="3" t="s">
        <v>21</v>
      </c>
      <c r="G325" s="5" t="n">
        <v>285.39</v>
      </c>
      <c r="H325" s="5" t="n">
        <f aca="false">ROUND(ABS(G325)-ABS(E325),2)</f>
        <v>0</v>
      </c>
      <c r="I325" s="3" t="s">
        <v>326</v>
      </c>
      <c r="J325" s="3"/>
      <c r="K325" s="3"/>
      <c r="L325" s="3" t="s">
        <v>319</v>
      </c>
      <c r="M325" s="3" t="s">
        <v>328</v>
      </c>
      <c r="N325" s="3"/>
    </row>
    <row r="326" customFormat="false" ht="34.5" hidden="false" customHeight="true" outlineLevel="0" collapsed="false">
      <c r="A326" s="3" t="s">
        <v>315</v>
      </c>
      <c r="B326" s="3" t="s">
        <v>315</v>
      </c>
      <c r="C326" s="4" t="s">
        <v>15</v>
      </c>
      <c r="D326" s="3" t="s">
        <v>22</v>
      </c>
      <c r="E326" s="5" t="n">
        <v>25</v>
      </c>
      <c r="F326" s="3" t="s">
        <v>22</v>
      </c>
      <c r="G326" s="5" t="n">
        <v>25</v>
      </c>
      <c r="H326" s="5" t="n">
        <f aca="false">ROUND(ABS(G326)-ABS(E326),2)</f>
        <v>0</v>
      </c>
      <c r="I326" s="3" t="s">
        <v>326</v>
      </c>
      <c r="J326" s="3"/>
      <c r="K326" s="3"/>
      <c r="L326" s="3" t="s">
        <v>322</v>
      </c>
      <c r="M326" s="3" t="s">
        <v>329</v>
      </c>
      <c r="N326" s="3"/>
    </row>
    <row r="327" customFormat="false" ht="34.5" hidden="false" customHeight="true" outlineLevel="0" collapsed="false">
      <c r="A327" s="3" t="s">
        <v>315</v>
      </c>
      <c r="B327" s="3" t="s">
        <v>315</v>
      </c>
      <c r="C327" s="4" t="s">
        <v>15</v>
      </c>
      <c r="D327" s="3" t="s">
        <v>24</v>
      </c>
      <c r="E327" s="5" t="n">
        <v>1945.84</v>
      </c>
      <c r="F327" s="3" t="s">
        <v>24</v>
      </c>
      <c r="G327" s="5" t="n">
        <v>1945.84</v>
      </c>
      <c r="H327" s="5" t="n">
        <f aca="false">ROUND(ABS(G327)-ABS(E327),2)</f>
        <v>0</v>
      </c>
      <c r="I327" s="3" t="s">
        <v>326</v>
      </c>
      <c r="J327" s="3"/>
      <c r="K327" s="3"/>
      <c r="L327" s="3" t="s">
        <v>319</v>
      </c>
      <c r="M327" s="3" t="s">
        <v>330</v>
      </c>
      <c r="N327" s="3"/>
    </row>
    <row r="328" customFormat="false" ht="79.5" hidden="false" customHeight="true" outlineLevel="0" collapsed="false">
      <c r="A328" s="3" t="s">
        <v>315</v>
      </c>
      <c r="B328" s="3" t="s">
        <v>315</v>
      </c>
      <c r="C328" s="7" t="s">
        <v>37</v>
      </c>
      <c r="D328" s="3" t="s">
        <v>25</v>
      </c>
      <c r="E328" s="5" t="n">
        <v>26.66</v>
      </c>
      <c r="F328" s="3" t="s">
        <v>25</v>
      </c>
      <c r="G328" s="5" t="n">
        <v>373.06</v>
      </c>
      <c r="H328" s="5" t="n">
        <f aca="false">ROUND(ABS(G328)-ABS(E328),2)</f>
        <v>346.4</v>
      </c>
      <c r="I328" s="3" t="s">
        <v>326</v>
      </c>
      <c r="J328" s="3"/>
      <c r="K328" s="3"/>
      <c r="L328" s="3" t="s">
        <v>325</v>
      </c>
      <c r="M328" s="3" t="s">
        <v>331</v>
      </c>
      <c r="N328" s="3" t="s">
        <v>62</v>
      </c>
    </row>
    <row r="329" customFormat="false" ht="23.25" hidden="false" customHeight="true" outlineLevel="0" collapsed="false">
      <c r="A329" s="3" t="s">
        <v>315</v>
      </c>
      <c r="B329" s="3" t="s">
        <v>315</v>
      </c>
      <c r="C329" s="7" t="s">
        <v>37</v>
      </c>
      <c r="D329" s="3" t="s">
        <v>29</v>
      </c>
      <c r="E329" s="5" t="s">
        <v>37</v>
      </c>
      <c r="F329" s="3" t="s">
        <v>29</v>
      </c>
      <c r="G329" s="5" t="s">
        <v>37</v>
      </c>
      <c r="H329" s="5" t="s">
        <v>37</v>
      </c>
      <c r="I329" s="3" t="s">
        <v>326</v>
      </c>
      <c r="J329" s="3" t="s">
        <v>38</v>
      </c>
      <c r="K329" s="3"/>
      <c r="L329" s="3" t="s">
        <v>39</v>
      </c>
      <c r="M329" s="3"/>
      <c r="N329" s="3" t="s">
        <v>40</v>
      </c>
    </row>
    <row r="330" customFormat="false" ht="34.5" hidden="false" customHeight="true" outlineLevel="0" collapsed="false">
      <c r="A330" s="3" t="s">
        <v>315</v>
      </c>
      <c r="B330" s="3" t="s">
        <v>315</v>
      </c>
      <c r="C330" s="4" t="s">
        <v>15</v>
      </c>
      <c r="D330" s="3" t="s">
        <v>16</v>
      </c>
      <c r="E330" s="5" t="n">
        <v>4000</v>
      </c>
      <c r="F330" s="3" t="s">
        <v>16</v>
      </c>
      <c r="G330" s="5" t="n">
        <v>4000</v>
      </c>
      <c r="H330" s="5" t="n">
        <f aca="false">ROUND(ABS(G330)-ABS(E330),2)</f>
        <v>0</v>
      </c>
      <c r="I330" s="3" t="s">
        <v>332</v>
      </c>
      <c r="J330" s="3"/>
      <c r="K330" s="3"/>
      <c r="L330" s="3" t="s">
        <v>319</v>
      </c>
      <c r="M330" s="3" t="s">
        <v>333</v>
      </c>
      <c r="N330" s="3"/>
    </row>
    <row r="331" customFormat="false" ht="34.5" hidden="false" customHeight="true" outlineLevel="0" collapsed="false">
      <c r="A331" s="3" t="s">
        <v>315</v>
      </c>
      <c r="B331" s="3" t="s">
        <v>315</v>
      </c>
      <c r="C331" s="4" t="s">
        <v>15</v>
      </c>
      <c r="D331" s="3" t="s">
        <v>21</v>
      </c>
      <c r="E331" s="5" t="n">
        <v>810.38</v>
      </c>
      <c r="F331" s="3" t="s">
        <v>21</v>
      </c>
      <c r="G331" s="5" t="n">
        <v>810.38</v>
      </c>
      <c r="H331" s="5" t="n">
        <f aca="false">ROUND(ABS(G331)-ABS(E331),2)</f>
        <v>0</v>
      </c>
      <c r="I331" s="3" t="s">
        <v>332</v>
      </c>
      <c r="J331" s="3"/>
      <c r="K331" s="3"/>
      <c r="L331" s="3" t="s">
        <v>319</v>
      </c>
      <c r="M331" s="3" t="s">
        <v>334</v>
      </c>
      <c r="N331" s="3"/>
    </row>
    <row r="332" customFormat="false" ht="34.5" hidden="false" customHeight="true" outlineLevel="0" collapsed="false">
      <c r="A332" s="3" t="s">
        <v>315</v>
      </c>
      <c r="B332" s="3" t="s">
        <v>315</v>
      </c>
      <c r="C332" s="4" t="s">
        <v>15</v>
      </c>
      <c r="D332" s="3" t="s">
        <v>22</v>
      </c>
      <c r="E332" s="5" t="n">
        <v>94.13</v>
      </c>
      <c r="F332" s="3" t="s">
        <v>22</v>
      </c>
      <c r="G332" s="5" t="n">
        <v>94.13</v>
      </c>
      <c r="H332" s="5" t="n">
        <f aca="false">ROUND(ABS(G332)-ABS(E332),2)</f>
        <v>0</v>
      </c>
      <c r="I332" s="3" t="s">
        <v>332</v>
      </c>
      <c r="J332" s="3"/>
      <c r="K332" s="3"/>
      <c r="L332" s="3" t="s">
        <v>322</v>
      </c>
      <c r="M332" s="3" t="s">
        <v>335</v>
      </c>
      <c r="N332" s="3"/>
    </row>
    <row r="333" customFormat="false" ht="34.5" hidden="false" customHeight="true" outlineLevel="0" collapsed="false">
      <c r="A333" s="3" t="s">
        <v>315</v>
      </c>
      <c r="B333" s="3" t="s">
        <v>315</v>
      </c>
      <c r="C333" s="4" t="s">
        <v>15</v>
      </c>
      <c r="D333" s="3" t="s">
        <v>24</v>
      </c>
      <c r="E333" s="5" t="n">
        <v>1780.5</v>
      </c>
      <c r="F333" s="3" t="s">
        <v>24</v>
      </c>
      <c r="G333" s="5" t="n">
        <v>1780.5</v>
      </c>
      <c r="H333" s="5" t="n">
        <f aca="false">ROUND(ABS(G333)-ABS(E333),2)</f>
        <v>0</v>
      </c>
      <c r="I333" s="3" t="s">
        <v>332</v>
      </c>
      <c r="J333" s="3"/>
      <c r="K333" s="3"/>
      <c r="L333" s="3" t="s">
        <v>319</v>
      </c>
      <c r="M333" s="3" t="s">
        <v>336</v>
      </c>
      <c r="N333" s="3"/>
    </row>
    <row r="334" customFormat="false" ht="34.5" hidden="false" customHeight="true" outlineLevel="0" collapsed="false">
      <c r="A334" s="3" t="s">
        <v>315</v>
      </c>
      <c r="B334" s="3" t="s">
        <v>315</v>
      </c>
      <c r="C334" s="6" t="s">
        <v>28</v>
      </c>
      <c r="D334" s="3" t="s">
        <v>25</v>
      </c>
      <c r="E334" s="5" t="n">
        <v>61.03</v>
      </c>
      <c r="F334" s="3" t="s">
        <v>25</v>
      </c>
      <c r="G334" s="5" t="n">
        <v>0</v>
      </c>
      <c r="H334" s="5" t="n">
        <f aca="false">ROUND(ABS(G334)-ABS(E334),2)</f>
        <v>-61.03</v>
      </c>
      <c r="I334" s="3" t="s">
        <v>332</v>
      </c>
      <c r="J334" s="3" t="s">
        <v>45</v>
      </c>
      <c r="K334" s="3"/>
      <c r="L334" s="3" t="s">
        <v>325</v>
      </c>
      <c r="M334" s="3"/>
      <c r="N334" s="3" t="s">
        <v>62</v>
      </c>
    </row>
    <row r="335" customFormat="false" ht="23.25" hidden="false" customHeight="true" outlineLevel="0" collapsed="false">
      <c r="A335" s="3" t="s">
        <v>315</v>
      </c>
      <c r="B335" s="3" t="s">
        <v>315</v>
      </c>
      <c r="C335" s="7" t="s">
        <v>37</v>
      </c>
      <c r="D335" s="3" t="s">
        <v>29</v>
      </c>
      <c r="E335" s="5" t="s">
        <v>37</v>
      </c>
      <c r="F335" s="3" t="s">
        <v>29</v>
      </c>
      <c r="G335" s="5" t="s">
        <v>37</v>
      </c>
      <c r="H335" s="5" t="s">
        <v>37</v>
      </c>
      <c r="I335" s="3" t="s">
        <v>332</v>
      </c>
      <c r="J335" s="3" t="s">
        <v>38</v>
      </c>
      <c r="K335" s="3"/>
      <c r="L335" s="3" t="s">
        <v>39</v>
      </c>
      <c r="M335" s="3"/>
      <c r="N335" s="3" t="s">
        <v>40</v>
      </c>
    </row>
    <row r="336" customFormat="false" ht="15" hidden="false" customHeight="true" outlineLevel="0" collapsed="false">
      <c r="A336" s="3" t="s">
        <v>315</v>
      </c>
      <c r="B336" s="3" t="s">
        <v>315</v>
      </c>
      <c r="C336" s="7" t="s">
        <v>37</v>
      </c>
      <c r="D336" s="3" t="s">
        <v>25</v>
      </c>
      <c r="E336" s="5" t="n">
        <v>215.52</v>
      </c>
      <c r="F336" s="3" t="s">
        <v>25</v>
      </c>
      <c r="G336" s="5" t="s">
        <v>37</v>
      </c>
      <c r="H336" s="5" t="s">
        <v>37</v>
      </c>
      <c r="I336" s="3" t="s">
        <v>70</v>
      </c>
      <c r="J336" s="3" t="s">
        <v>71</v>
      </c>
      <c r="K336" s="3"/>
      <c r="L336" s="3" t="s">
        <v>72</v>
      </c>
      <c r="M336" s="3"/>
      <c r="N336" s="3" t="s">
        <v>73</v>
      </c>
    </row>
    <row r="337" customFormat="false" ht="75.75" hidden="false" customHeight="true" outlineLevel="0" collapsed="false">
      <c r="A337" s="8" t="s">
        <v>315</v>
      </c>
      <c r="B337" s="8" t="s">
        <v>315</v>
      </c>
      <c r="C337" s="8" t="s">
        <v>28</v>
      </c>
      <c r="D337" s="8" t="s">
        <v>47</v>
      </c>
      <c r="E337" s="8" t="s">
        <v>337</v>
      </c>
      <c r="F337" s="8" t="s">
        <v>47</v>
      </c>
      <c r="G337" s="8" t="s">
        <v>18</v>
      </c>
      <c r="H337" s="8"/>
      <c r="I337" s="8" t="s">
        <v>49</v>
      </c>
      <c r="J337" s="8" t="s">
        <v>18</v>
      </c>
      <c r="K337" s="8"/>
      <c r="L337" s="8" t="s">
        <v>316</v>
      </c>
      <c r="M337" s="8" t="s">
        <v>317</v>
      </c>
      <c r="N337" s="8" t="s">
        <v>50</v>
      </c>
    </row>
    <row r="338" customFormat="false" ht="23.25" hidden="false" customHeight="true" outlineLevel="0" collapsed="false">
      <c r="A338" s="3" t="s">
        <v>338</v>
      </c>
      <c r="B338" s="3" t="s">
        <v>338</v>
      </c>
      <c r="C338" s="4" t="s">
        <v>15</v>
      </c>
      <c r="D338" s="3" t="s">
        <v>16</v>
      </c>
      <c r="E338" s="5" t="n">
        <v>7600</v>
      </c>
      <c r="F338" s="3" t="s">
        <v>16</v>
      </c>
      <c r="G338" s="5" t="n">
        <v>7600</v>
      </c>
      <c r="H338" s="5" t="n">
        <f aca="false">ROUND(ABS(G338)-ABS(E338),2)</f>
        <v>0</v>
      </c>
      <c r="I338" s="3" t="s">
        <v>17</v>
      </c>
      <c r="J338" s="3" t="s">
        <v>18</v>
      </c>
      <c r="K338" s="3"/>
      <c r="L338" s="3" t="s">
        <v>339</v>
      </c>
      <c r="M338" s="3" t="s">
        <v>340</v>
      </c>
      <c r="N338" s="3"/>
    </row>
    <row r="339" customFormat="false" ht="23.25" hidden="false" customHeight="true" outlineLevel="0" collapsed="false">
      <c r="A339" s="3" t="s">
        <v>338</v>
      </c>
      <c r="B339" s="3" t="s">
        <v>338</v>
      </c>
      <c r="C339" s="4" t="s">
        <v>15</v>
      </c>
      <c r="D339" s="3" t="s">
        <v>21</v>
      </c>
      <c r="E339" s="5" t="n">
        <v>1523.67</v>
      </c>
      <c r="F339" s="3" t="s">
        <v>21</v>
      </c>
      <c r="G339" s="5" t="n">
        <v>1523.67</v>
      </c>
      <c r="H339" s="5" t="n">
        <f aca="false">ROUND(ABS(G339)-ABS(E339),2)</f>
        <v>0</v>
      </c>
      <c r="I339" s="3" t="s">
        <v>17</v>
      </c>
      <c r="J339" s="3" t="s">
        <v>18</v>
      </c>
      <c r="K339" s="3"/>
      <c r="L339" s="3" t="s">
        <v>339</v>
      </c>
      <c r="M339" s="3" t="s">
        <v>340</v>
      </c>
      <c r="N339" s="3"/>
    </row>
    <row r="340" customFormat="false" ht="23.25" hidden="false" customHeight="true" outlineLevel="0" collapsed="false">
      <c r="A340" s="3" t="s">
        <v>338</v>
      </c>
      <c r="B340" s="3" t="s">
        <v>338</v>
      </c>
      <c r="C340" s="4" t="s">
        <v>15</v>
      </c>
      <c r="D340" s="3" t="s">
        <v>22</v>
      </c>
      <c r="E340" s="5" t="n">
        <v>110</v>
      </c>
      <c r="F340" s="3" t="s">
        <v>22</v>
      </c>
      <c r="G340" s="5" t="n">
        <v>110</v>
      </c>
      <c r="H340" s="5" t="n">
        <f aca="false">ROUND(ABS(G340)-ABS(E340),2)</f>
        <v>0</v>
      </c>
      <c r="I340" s="3" t="s">
        <v>17</v>
      </c>
      <c r="J340" s="3" t="s">
        <v>18</v>
      </c>
      <c r="K340" s="3"/>
      <c r="L340" s="3" t="s">
        <v>339</v>
      </c>
      <c r="M340" s="3" t="s">
        <v>340</v>
      </c>
      <c r="N340" s="3" t="s">
        <v>23</v>
      </c>
    </row>
    <row r="341" customFormat="false" ht="23.25" hidden="false" customHeight="true" outlineLevel="0" collapsed="false">
      <c r="A341" s="3" t="s">
        <v>338</v>
      </c>
      <c r="B341" s="3" t="s">
        <v>338</v>
      </c>
      <c r="C341" s="4" t="s">
        <v>15</v>
      </c>
      <c r="D341" s="3" t="s">
        <v>24</v>
      </c>
      <c r="E341" s="5" t="n">
        <v>4570.14</v>
      </c>
      <c r="F341" s="3" t="s">
        <v>24</v>
      </c>
      <c r="G341" s="5" t="n">
        <v>4570.14</v>
      </c>
      <c r="H341" s="5" t="n">
        <f aca="false">ROUND(ABS(G341)-ABS(E341),2)</f>
        <v>0</v>
      </c>
      <c r="I341" s="3" t="s">
        <v>17</v>
      </c>
      <c r="J341" s="3" t="s">
        <v>18</v>
      </c>
      <c r="K341" s="3"/>
      <c r="L341" s="3" t="s">
        <v>339</v>
      </c>
      <c r="M341" s="3" t="s">
        <v>340</v>
      </c>
      <c r="N341" s="3"/>
    </row>
    <row r="342" customFormat="false" ht="23.25" hidden="false" customHeight="true" outlineLevel="0" collapsed="false">
      <c r="A342" s="3" t="s">
        <v>338</v>
      </c>
      <c r="B342" s="3" t="s">
        <v>338</v>
      </c>
      <c r="C342" s="4" t="s">
        <v>15</v>
      </c>
      <c r="D342" s="3" t="s">
        <v>25</v>
      </c>
      <c r="E342" s="5" t="n">
        <v>145.6</v>
      </c>
      <c r="F342" s="3" t="s">
        <v>25</v>
      </c>
      <c r="G342" s="5" t="n">
        <v>145.6</v>
      </c>
      <c r="H342" s="5" t="n">
        <f aca="false">ROUND(ABS(G342)-ABS(E342),2)</f>
        <v>0</v>
      </c>
      <c r="I342" s="3" t="s">
        <v>17</v>
      </c>
      <c r="J342" s="3" t="s">
        <v>18</v>
      </c>
      <c r="K342" s="3"/>
      <c r="L342" s="3" t="s">
        <v>339</v>
      </c>
      <c r="M342" s="3" t="s">
        <v>340</v>
      </c>
      <c r="N342" s="3"/>
    </row>
    <row r="343" customFormat="false" ht="23.25" hidden="false" customHeight="true" outlineLevel="0" collapsed="false">
      <c r="A343" s="3" t="s">
        <v>338</v>
      </c>
      <c r="B343" s="3" t="s">
        <v>338</v>
      </c>
      <c r="C343" s="4" t="s">
        <v>15</v>
      </c>
      <c r="D343" s="3" t="s">
        <v>26</v>
      </c>
      <c r="E343" s="5" t="n">
        <v>0</v>
      </c>
      <c r="F343" s="3" t="s">
        <v>26</v>
      </c>
      <c r="G343" s="5" t="n">
        <v>0</v>
      </c>
      <c r="H343" s="5" t="n">
        <f aca="false">ROUND(ABS(G343)-ABS(E343),2)</f>
        <v>0</v>
      </c>
      <c r="I343" s="3" t="s">
        <v>17</v>
      </c>
      <c r="J343" s="3" t="s">
        <v>18</v>
      </c>
      <c r="K343" s="3"/>
      <c r="L343" s="3" t="s">
        <v>339</v>
      </c>
      <c r="M343" s="3" t="s">
        <v>340</v>
      </c>
      <c r="N343" s="3" t="s">
        <v>27</v>
      </c>
    </row>
    <row r="344" customFormat="false" ht="23.25" hidden="false" customHeight="true" outlineLevel="0" collapsed="false">
      <c r="A344" s="3" t="s">
        <v>338</v>
      </c>
      <c r="B344" s="3" t="s">
        <v>338</v>
      </c>
      <c r="C344" s="6" t="s">
        <v>28</v>
      </c>
      <c r="D344" s="3" t="s">
        <v>29</v>
      </c>
      <c r="E344" s="5" t="n">
        <v>1196.09</v>
      </c>
      <c r="F344" s="3" t="s">
        <v>29</v>
      </c>
      <c r="G344" s="5" t="n">
        <v>-4517.99</v>
      </c>
      <c r="H344" s="5" t="n">
        <f aca="false">ROUND(ABS(G344)-ABS(E344),2)</f>
        <v>3321.9</v>
      </c>
      <c r="I344" s="3" t="s">
        <v>17</v>
      </c>
      <c r="J344" s="3" t="s">
        <v>18</v>
      </c>
      <c r="K344" s="3"/>
      <c r="L344" s="3" t="s">
        <v>339</v>
      </c>
      <c r="M344" s="3" t="s">
        <v>340</v>
      </c>
      <c r="N344" s="3" t="s">
        <v>30</v>
      </c>
    </row>
    <row r="345" customFormat="false" ht="34.5" hidden="false" customHeight="true" outlineLevel="0" collapsed="false">
      <c r="A345" s="3" t="s">
        <v>338</v>
      </c>
      <c r="B345" s="3" t="s">
        <v>338</v>
      </c>
      <c r="C345" s="4" t="s">
        <v>15</v>
      </c>
      <c r="D345" s="3" t="s">
        <v>16</v>
      </c>
      <c r="E345" s="5" t="n">
        <v>4300</v>
      </c>
      <c r="F345" s="3" t="s">
        <v>16</v>
      </c>
      <c r="G345" s="5" t="n">
        <v>4300</v>
      </c>
      <c r="H345" s="5" t="n">
        <f aca="false">ROUND(ABS(G345)-ABS(E345),2)</f>
        <v>0</v>
      </c>
      <c r="I345" s="3" t="s">
        <v>341</v>
      </c>
      <c r="J345" s="3"/>
      <c r="K345" s="3"/>
      <c r="L345" s="3" t="s">
        <v>342</v>
      </c>
      <c r="M345" s="3" t="s">
        <v>343</v>
      </c>
      <c r="N345" s="3"/>
    </row>
    <row r="346" customFormat="false" ht="34.5" hidden="false" customHeight="true" outlineLevel="0" collapsed="false">
      <c r="A346" s="3" t="s">
        <v>338</v>
      </c>
      <c r="B346" s="3" t="s">
        <v>338</v>
      </c>
      <c r="C346" s="4" t="s">
        <v>15</v>
      </c>
      <c r="D346" s="3" t="s">
        <v>21</v>
      </c>
      <c r="E346" s="5" t="n">
        <v>666.81</v>
      </c>
      <c r="F346" s="3" t="s">
        <v>21</v>
      </c>
      <c r="G346" s="5" t="n">
        <v>666.81</v>
      </c>
      <c r="H346" s="5" t="n">
        <f aca="false">ROUND(ABS(G346)-ABS(E346),2)</f>
        <v>0</v>
      </c>
      <c r="I346" s="3" t="s">
        <v>341</v>
      </c>
      <c r="J346" s="3"/>
      <c r="K346" s="3"/>
      <c r="L346" s="3" t="s">
        <v>342</v>
      </c>
      <c r="M346" s="3" t="s">
        <v>344</v>
      </c>
      <c r="N346" s="3"/>
    </row>
    <row r="347" customFormat="false" ht="34.5" hidden="false" customHeight="true" outlineLevel="0" collapsed="false">
      <c r="A347" s="3" t="s">
        <v>338</v>
      </c>
      <c r="B347" s="3" t="s">
        <v>338</v>
      </c>
      <c r="C347" s="4" t="s">
        <v>15</v>
      </c>
      <c r="D347" s="3" t="s">
        <v>24</v>
      </c>
      <c r="E347" s="5" t="n">
        <v>2044.5</v>
      </c>
      <c r="F347" s="3" t="s">
        <v>24</v>
      </c>
      <c r="G347" s="5" t="n">
        <v>2044.5</v>
      </c>
      <c r="H347" s="5" t="n">
        <f aca="false">ROUND(ABS(G347)-ABS(E347),2)</f>
        <v>0</v>
      </c>
      <c r="I347" s="3" t="s">
        <v>341</v>
      </c>
      <c r="J347" s="3"/>
      <c r="K347" s="3"/>
      <c r="L347" s="3" t="s">
        <v>342</v>
      </c>
      <c r="M347" s="3" t="s">
        <v>345</v>
      </c>
      <c r="N347" s="3"/>
    </row>
    <row r="348" customFormat="false" ht="34.5" hidden="false" customHeight="true" outlineLevel="0" collapsed="false">
      <c r="A348" s="3" t="s">
        <v>338</v>
      </c>
      <c r="B348" s="3" t="s">
        <v>338</v>
      </c>
      <c r="C348" s="6" t="s">
        <v>28</v>
      </c>
      <c r="D348" s="3" t="s">
        <v>25</v>
      </c>
      <c r="E348" s="5" t="n">
        <v>20.6</v>
      </c>
      <c r="F348" s="3" t="s">
        <v>25</v>
      </c>
      <c r="G348" s="5" t="n">
        <v>0</v>
      </c>
      <c r="H348" s="5" t="n">
        <f aca="false">ROUND(ABS(G348)-ABS(E348),2)</f>
        <v>-20.6</v>
      </c>
      <c r="I348" s="3" t="s">
        <v>341</v>
      </c>
      <c r="J348" s="3" t="s">
        <v>45</v>
      </c>
      <c r="K348" s="3"/>
      <c r="L348" s="3" t="s">
        <v>346</v>
      </c>
      <c r="M348" s="3"/>
      <c r="N348" s="3" t="s">
        <v>62</v>
      </c>
    </row>
    <row r="349" customFormat="false" ht="23.25" hidden="false" customHeight="true" outlineLevel="0" collapsed="false">
      <c r="A349" s="3" t="s">
        <v>338</v>
      </c>
      <c r="B349" s="3" t="s">
        <v>338</v>
      </c>
      <c r="C349" s="7" t="s">
        <v>37</v>
      </c>
      <c r="D349" s="3" t="s">
        <v>29</v>
      </c>
      <c r="E349" s="5" t="s">
        <v>37</v>
      </c>
      <c r="F349" s="3" t="s">
        <v>29</v>
      </c>
      <c r="G349" s="5" t="s">
        <v>37</v>
      </c>
      <c r="H349" s="5" t="s">
        <v>37</v>
      </c>
      <c r="I349" s="3" t="s">
        <v>341</v>
      </c>
      <c r="J349" s="3" t="s">
        <v>38</v>
      </c>
      <c r="K349" s="3"/>
      <c r="L349" s="3" t="s">
        <v>39</v>
      </c>
      <c r="M349" s="3"/>
      <c r="N349" s="3" t="s">
        <v>40</v>
      </c>
    </row>
    <row r="350" customFormat="false" ht="34.5" hidden="false" customHeight="true" outlineLevel="0" collapsed="false">
      <c r="A350" s="3" t="s">
        <v>338</v>
      </c>
      <c r="B350" s="3" t="s">
        <v>338</v>
      </c>
      <c r="C350" s="4" t="s">
        <v>15</v>
      </c>
      <c r="D350" s="3" t="s">
        <v>16</v>
      </c>
      <c r="E350" s="5" t="n">
        <v>800</v>
      </c>
      <c r="F350" s="3" t="s">
        <v>16</v>
      </c>
      <c r="G350" s="5" t="n">
        <v>800</v>
      </c>
      <c r="H350" s="5" t="n">
        <f aca="false">ROUND(ABS(G350)-ABS(E350),2)</f>
        <v>0</v>
      </c>
      <c r="I350" s="3" t="s">
        <v>347</v>
      </c>
      <c r="J350" s="3"/>
      <c r="K350" s="3"/>
      <c r="L350" s="3" t="s">
        <v>342</v>
      </c>
      <c r="M350" s="3" t="s">
        <v>348</v>
      </c>
      <c r="N350" s="3"/>
    </row>
    <row r="351" customFormat="false" ht="34.5" hidden="false" customHeight="true" outlineLevel="0" collapsed="false">
      <c r="A351" s="3" t="s">
        <v>338</v>
      </c>
      <c r="B351" s="3" t="s">
        <v>338</v>
      </c>
      <c r="C351" s="4" t="s">
        <v>15</v>
      </c>
      <c r="D351" s="3" t="s">
        <v>21</v>
      </c>
      <c r="E351" s="5" t="n">
        <v>309.61</v>
      </c>
      <c r="F351" s="3" t="s">
        <v>21</v>
      </c>
      <c r="G351" s="5" t="n">
        <v>309.61</v>
      </c>
      <c r="H351" s="5" t="n">
        <f aca="false">ROUND(ABS(G351)-ABS(E351),2)</f>
        <v>0</v>
      </c>
      <c r="I351" s="3" t="s">
        <v>347</v>
      </c>
      <c r="J351" s="3"/>
      <c r="K351" s="3"/>
      <c r="L351" s="3" t="s">
        <v>342</v>
      </c>
      <c r="M351" s="3" t="s">
        <v>349</v>
      </c>
      <c r="N351" s="3"/>
    </row>
    <row r="352" customFormat="false" ht="34.5" hidden="false" customHeight="true" outlineLevel="0" collapsed="false">
      <c r="A352" s="3" t="s">
        <v>338</v>
      </c>
      <c r="B352" s="3" t="s">
        <v>338</v>
      </c>
      <c r="C352" s="4" t="s">
        <v>15</v>
      </c>
      <c r="D352" s="3" t="s">
        <v>22</v>
      </c>
      <c r="E352" s="5" t="n">
        <v>35</v>
      </c>
      <c r="F352" s="3" t="s">
        <v>22</v>
      </c>
      <c r="G352" s="5" t="n">
        <v>35</v>
      </c>
      <c r="H352" s="5" t="n">
        <f aca="false">ROUND(ABS(G352)-ABS(E352),2)</f>
        <v>0</v>
      </c>
      <c r="I352" s="3" t="s">
        <v>347</v>
      </c>
      <c r="J352" s="3"/>
      <c r="K352" s="3"/>
      <c r="L352" s="3" t="s">
        <v>350</v>
      </c>
      <c r="M352" s="3" t="s">
        <v>351</v>
      </c>
      <c r="N352" s="3"/>
    </row>
    <row r="353" customFormat="false" ht="34.5" hidden="false" customHeight="true" outlineLevel="0" collapsed="false">
      <c r="A353" s="3" t="s">
        <v>338</v>
      </c>
      <c r="B353" s="3" t="s">
        <v>338</v>
      </c>
      <c r="C353" s="4" t="s">
        <v>15</v>
      </c>
      <c r="D353" s="3" t="s">
        <v>24</v>
      </c>
      <c r="E353" s="5" t="n">
        <v>1047.95</v>
      </c>
      <c r="F353" s="3" t="s">
        <v>24</v>
      </c>
      <c r="G353" s="5" t="n">
        <v>1047.95</v>
      </c>
      <c r="H353" s="5" t="n">
        <f aca="false">ROUND(ABS(G353)-ABS(E353),2)</f>
        <v>0</v>
      </c>
      <c r="I353" s="3" t="s">
        <v>347</v>
      </c>
      <c r="J353" s="3"/>
      <c r="K353" s="3"/>
      <c r="L353" s="3" t="s">
        <v>342</v>
      </c>
      <c r="M353" s="3" t="s">
        <v>352</v>
      </c>
      <c r="N353" s="3"/>
    </row>
    <row r="354" customFormat="false" ht="45.75" hidden="false" customHeight="true" outlineLevel="0" collapsed="false">
      <c r="A354" s="3" t="s">
        <v>338</v>
      </c>
      <c r="B354" s="3" t="s">
        <v>338</v>
      </c>
      <c r="C354" s="7" t="s">
        <v>37</v>
      </c>
      <c r="D354" s="3" t="s">
        <v>25</v>
      </c>
      <c r="E354" s="5" t="n">
        <v>56.18</v>
      </c>
      <c r="F354" s="3" t="s">
        <v>25</v>
      </c>
      <c r="G354" s="5" t="n">
        <v>145.6</v>
      </c>
      <c r="H354" s="5" t="n">
        <f aca="false">ROUND(ABS(G354)-ABS(E354),2)</f>
        <v>89.42</v>
      </c>
      <c r="I354" s="3" t="s">
        <v>347</v>
      </c>
      <c r="J354" s="3"/>
      <c r="K354" s="3"/>
      <c r="L354" s="3" t="s">
        <v>346</v>
      </c>
      <c r="M354" s="3" t="s">
        <v>353</v>
      </c>
      <c r="N354" s="3" t="s">
        <v>62</v>
      </c>
    </row>
    <row r="355" customFormat="false" ht="23.25" hidden="false" customHeight="true" outlineLevel="0" collapsed="false">
      <c r="A355" s="3" t="s">
        <v>338</v>
      </c>
      <c r="B355" s="3" t="s">
        <v>338</v>
      </c>
      <c r="C355" s="7" t="s">
        <v>37</v>
      </c>
      <c r="D355" s="3" t="s">
        <v>29</v>
      </c>
      <c r="E355" s="5" t="s">
        <v>37</v>
      </c>
      <c r="F355" s="3" t="s">
        <v>29</v>
      </c>
      <c r="G355" s="5" t="s">
        <v>37</v>
      </c>
      <c r="H355" s="5" t="s">
        <v>37</v>
      </c>
      <c r="I355" s="3" t="s">
        <v>347</v>
      </c>
      <c r="J355" s="3" t="s">
        <v>38</v>
      </c>
      <c r="K355" s="3"/>
      <c r="L355" s="3" t="s">
        <v>39</v>
      </c>
      <c r="M355" s="3"/>
      <c r="N355" s="3" t="s">
        <v>40</v>
      </c>
    </row>
    <row r="356" customFormat="false" ht="34.5" hidden="false" customHeight="true" outlineLevel="0" collapsed="false">
      <c r="A356" s="3" t="s">
        <v>338</v>
      </c>
      <c r="B356" s="3" t="s">
        <v>338</v>
      </c>
      <c r="C356" s="4" t="s">
        <v>15</v>
      </c>
      <c r="D356" s="3" t="s">
        <v>16</v>
      </c>
      <c r="E356" s="5" t="n">
        <v>2500</v>
      </c>
      <c r="F356" s="3" t="s">
        <v>16</v>
      </c>
      <c r="G356" s="5" t="n">
        <v>2500</v>
      </c>
      <c r="H356" s="5" t="n">
        <f aca="false">ROUND(ABS(G356)-ABS(E356),2)</f>
        <v>0</v>
      </c>
      <c r="I356" s="3" t="s">
        <v>354</v>
      </c>
      <c r="J356" s="3"/>
      <c r="K356" s="3"/>
      <c r="L356" s="3" t="s">
        <v>342</v>
      </c>
      <c r="M356" s="3" t="s">
        <v>355</v>
      </c>
      <c r="N356" s="3"/>
    </row>
    <row r="357" customFormat="false" ht="34.5" hidden="false" customHeight="true" outlineLevel="0" collapsed="false">
      <c r="A357" s="3" t="s">
        <v>338</v>
      </c>
      <c r="B357" s="3" t="s">
        <v>338</v>
      </c>
      <c r="C357" s="4" t="s">
        <v>15</v>
      </c>
      <c r="D357" s="3" t="s">
        <v>21</v>
      </c>
      <c r="E357" s="5" t="n">
        <v>547.25</v>
      </c>
      <c r="F357" s="3" t="s">
        <v>21</v>
      </c>
      <c r="G357" s="5" t="n">
        <v>547.25</v>
      </c>
      <c r="H357" s="5" t="n">
        <f aca="false">ROUND(ABS(G357)-ABS(E357),2)</f>
        <v>0</v>
      </c>
      <c r="I357" s="3" t="s">
        <v>354</v>
      </c>
      <c r="J357" s="3"/>
      <c r="K357" s="3"/>
      <c r="L357" s="3" t="s">
        <v>342</v>
      </c>
      <c r="M357" s="3" t="s">
        <v>356</v>
      </c>
      <c r="N357" s="3"/>
    </row>
    <row r="358" customFormat="false" ht="34.5" hidden="false" customHeight="true" outlineLevel="0" collapsed="false">
      <c r="A358" s="3" t="s">
        <v>338</v>
      </c>
      <c r="B358" s="3" t="s">
        <v>338</v>
      </c>
      <c r="C358" s="4" t="s">
        <v>15</v>
      </c>
      <c r="D358" s="3" t="s">
        <v>22</v>
      </c>
      <c r="E358" s="5" t="n">
        <v>75</v>
      </c>
      <c r="F358" s="3" t="s">
        <v>22</v>
      </c>
      <c r="G358" s="5" t="n">
        <v>75</v>
      </c>
      <c r="H358" s="5" t="n">
        <f aca="false">ROUND(ABS(G358)-ABS(E358),2)</f>
        <v>0</v>
      </c>
      <c r="I358" s="3" t="s">
        <v>354</v>
      </c>
      <c r="J358" s="3"/>
      <c r="K358" s="3"/>
      <c r="L358" s="3" t="s">
        <v>350</v>
      </c>
      <c r="M358" s="3" t="s">
        <v>357</v>
      </c>
      <c r="N358" s="3"/>
    </row>
    <row r="359" customFormat="false" ht="34.5" hidden="false" customHeight="true" outlineLevel="0" collapsed="false">
      <c r="A359" s="3" t="s">
        <v>338</v>
      </c>
      <c r="B359" s="3" t="s">
        <v>338</v>
      </c>
      <c r="C359" s="4" t="s">
        <v>15</v>
      </c>
      <c r="D359" s="3" t="s">
        <v>24</v>
      </c>
      <c r="E359" s="5" t="n">
        <v>1477.69</v>
      </c>
      <c r="F359" s="3" t="s">
        <v>24</v>
      </c>
      <c r="G359" s="5" t="n">
        <v>1477.69</v>
      </c>
      <c r="H359" s="5" t="n">
        <f aca="false">ROUND(ABS(G359)-ABS(E359),2)</f>
        <v>0</v>
      </c>
      <c r="I359" s="3" t="s">
        <v>354</v>
      </c>
      <c r="J359" s="3"/>
      <c r="K359" s="3"/>
      <c r="L359" s="3" t="s">
        <v>342</v>
      </c>
      <c r="M359" s="3" t="s">
        <v>358</v>
      </c>
      <c r="N359" s="3"/>
    </row>
    <row r="360" customFormat="false" ht="34.5" hidden="false" customHeight="true" outlineLevel="0" collapsed="false">
      <c r="A360" s="3" t="s">
        <v>338</v>
      </c>
      <c r="B360" s="3" t="s">
        <v>338</v>
      </c>
      <c r="C360" s="6" t="s">
        <v>28</v>
      </c>
      <c r="D360" s="3" t="s">
        <v>25</v>
      </c>
      <c r="E360" s="5" t="n">
        <v>58.82</v>
      </c>
      <c r="F360" s="3" t="s">
        <v>25</v>
      </c>
      <c r="G360" s="5" t="n">
        <v>0</v>
      </c>
      <c r="H360" s="5" t="n">
        <f aca="false">ROUND(ABS(G360)-ABS(E360),2)</f>
        <v>-58.82</v>
      </c>
      <c r="I360" s="3" t="s">
        <v>354</v>
      </c>
      <c r="J360" s="3" t="s">
        <v>45</v>
      </c>
      <c r="K360" s="3"/>
      <c r="L360" s="3" t="s">
        <v>346</v>
      </c>
      <c r="M360" s="3"/>
      <c r="N360" s="3" t="s">
        <v>62</v>
      </c>
    </row>
    <row r="361" customFormat="false" ht="23.25" hidden="false" customHeight="true" outlineLevel="0" collapsed="false">
      <c r="A361" s="3" t="s">
        <v>338</v>
      </c>
      <c r="B361" s="3" t="s">
        <v>338</v>
      </c>
      <c r="C361" s="7" t="s">
        <v>37</v>
      </c>
      <c r="D361" s="3" t="s">
        <v>29</v>
      </c>
      <c r="E361" s="5" t="s">
        <v>37</v>
      </c>
      <c r="F361" s="3" t="s">
        <v>29</v>
      </c>
      <c r="G361" s="5" t="s">
        <v>37</v>
      </c>
      <c r="H361" s="5" t="s">
        <v>37</v>
      </c>
      <c r="I361" s="3" t="s">
        <v>354</v>
      </c>
      <c r="J361" s="3" t="s">
        <v>38</v>
      </c>
      <c r="K361" s="3"/>
      <c r="L361" s="3" t="s">
        <v>39</v>
      </c>
      <c r="M361" s="3"/>
      <c r="N361" s="3" t="s">
        <v>40</v>
      </c>
    </row>
    <row r="362" customFormat="false" ht="15" hidden="false" customHeight="true" outlineLevel="0" collapsed="false">
      <c r="A362" s="3" t="s">
        <v>338</v>
      </c>
      <c r="B362" s="3" t="s">
        <v>338</v>
      </c>
      <c r="C362" s="7" t="s">
        <v>37</v>
      </c>
      <c r="D362" s="3" t="s">
        <v>25</v>
      </c>
      <c r="E362" s="5" t="n">
        <v>10</v>
      </c>
      <c r="F362" s="3" t="s">
        <v>25</v>
      </c>
      <c r="G362" s="5" t="s">
        <v>37</v>
      </c>
      <c r="H362" s="5" t="s">
        <v>37</v>
      </c>
      <c r="I362" s="3" t="s">
        <v>70</v>
      </c>
      <c r="J362" s="3" t="s">
        <v>71</v>
      </c>
      <c r="K362" s="3"/>
      <c r="L362" s="3" t="s">
        <v>72</v>
      </c>
      <c r="M362" s="3"/>
      <c r="N362" s="3" t="s">
        <v>73</v>
      </c>
    </row>
    <row r="363" customFormat="false" ht="75.75" hidden="false" customHeight="true" outlineLevel="0" collapsed="false">
      <c r="A363" s="8" t="s">
        <v>338</v>
      </c>
      <c r="B363" s="8" t="s">
        <v>338</v>
      </c>
      <c r="C363" s="8" t="s">
        <v>28</v>
      </c>
      <c r="D363" s="8" t="s">
        <v>47</v>
      </c>
      <c r="E363" s="8" t="s">
        <v>359</v>
      </c>
      <c r="F363" s="8" t="s">
        <v>47</v>
      </c>
      <c r="G363" s="8" t="s">
        <v>18</v>
      </c>
      <c r="H363" s="8"/>
      <c r="I363" s="8" t="s">
        <v>49</v>
      </c>
      <c r="J363" s="8" t="s">
        <v>18</v>
      </c>
      <c r="K363" s="8"/>
      <c r="L363" s="8" t="s">
        <v>339</v>
      </c>
      <c r="M363" s="8" t="s">
        <v>340</v>
      </c>
      <c r="N363" s="8" t="s">
        <v>50</v>
      </c>
    </row>
    <row r="364" customFormat="false" ht="23.25" hidden="false" customHeight="true" outlineLevel="0" collapsed="false">
      <c r="A364" s="3" t="s">
        <v>360</v>
      </c>
      <c r="B364" s="3" t="s">
        <v>360</v>
      </c>
      <c r="C364" s="4" t="s">
        <v>15</v>
      </c>
      <c r="D364" s="3" t="s">
        <v>16</v>
      </c>
      <c r="E364" s="5" t="n">
        <v>2300</v>
      </c>
      <c r="F364" s="3" t="s">
        <v>16</v>
      </c>
      <c r="G364" s="5" t="n">
        <v>2300</v>
      </c>
      <c r="H364" s="5" t="n">
        <f aca="false">ROUND(ABS(G364)-ABS(E364),2)</f>
        <v>0</v>
      </c>
      <c r="I364" s="3" t="s">
        <v>17</v>
      </c>
      <c r="J364" s="3" t="s">
        <v>121</v>
      </c>
      <c r="K364" s="3" t="s">
        <v>361</v>
      </c>
      <c r="L364" s="3" t="s">
        <v>362</v>
      </c>
      <c r="M364" s="3" t="s">
        <v>363</v>
      </c>
      <c r="N364" s="3"/>
    </row>
    <row r="365" customFormat="false" ht="23.25" hidden="false" customHeight="true" outlineLevel="0" collapsed="false">
      <c r="A365" s="3" t="s">
        <v>360</v>
      </c>
      <c r="B365" s="3" t="s">
        <v>360</v>
      </c>
      <c r="C365" s="4" t="s">
        <v>15</v>
      </c>
      <c r="D365" s="3" t="s">
        <v>21</v>
      </c>
      <c r="E365" s="5" t="n">
        <v>1039.05</v>
      </c>
      <c r="F365" s="3" t="s">
        <v>21</v>
      </c>
      <c r="G365" s="5" t="n">
        <v>1039.05</v>
      </c>
      <c r="H365" s="5" t="n">
        <f aca="false">ROUND(ABS(G365)-ABS(E365),2)</f>
        <v>0</v>
      </c>
      <c r="I365" s="3" t="s">
        <v>17</v>
      </c>
      <c r="J365" s="3" t="s">
        <v>121</v>
      </c>
      <c r="K365" s="3" t="s">
        <v>361</v>
      </c>
      <c r="L365" s="3" t="s">
        <v>362</v>
      </c>
      <c r="M365" s="3" t="s">
        <v>363</v>
      </c>
      <c r="N365" s="3"/>
    </row>
    <row r="366" customFormat="false" ht="23.25" hidden="false" customHeight="true" outlineLevel="0" collapsed="false">
      <c r="A366" s="3" t="s">
        <v>360</v>
      </c>
      <c r="B366" s="3" t="s">
        <v>360</v>
      </c>
      <c r="C366" s="4" t="s">
        <v>15</v>
      </c>
      <c r="D366" s="3" t="s">
        <v>22</v>
      </c>
      <c r="E366" s="5" t="n">
        <v>0</v>
      </c>
      <c r="F366" s="3" t="s">
        <v>22</v>
      </c>
      <c r="G366" s="5" t="n">
        <v>0</v>
      </c>
      <c r="H366" s="5" t="n">
        <f aca="false">ROUND(ABS(G366)-ABS(E366),2)</f>
        <v>0</v>
      </c>
      <c r="I366" s="3" t="s">
        <v>17</v>
      </c>
      <c r="J366" s="3" t="s">
        <v>121</v>
      </c>
      <c r="K366" s="3" t="s">
        <v>361</v>
      </c>
      <c r="L366" s="3" t="s">
        <v>362</v>
      </c>
      <c r="M366" s="3" t="s">
        <v>363</v>
      </c>
      <c r="N366" s="3" t="s">
        <v>23</v>
      </c>
    </row>
    <row r="367" customFormat="false" ht="23.25" hidden="false" customHeight="true" outlineLevel="0" collapsed="false">
      <c r="A367" s="3" t="s">
        <v>360</v>
      </c>
      <c r="B367" s="3" t="s">
        <v>360</v>
      </c>
      <c r="C367" s="4" t="s">
        <v>15</v>
      </c>
      <c r="D367" s="3" t="s">
        <v>24</v>
      </c>
      <c r="E367" s="5" t="n">
        <v>2418.24</v>
      </c>
      <c r="F367" s="3" t="s">
        <v>24</v>
      </c>
      <c r="G367" s="5" t="n">
        <v>2418.24</v>
      </c>
      <c r="H367" s="5" t="n">
        <f aca="false">ROUND(ABS(G367)-ABS(E367),2)</f>
        <v>0</v>
      </c>
      <c r="I367" s="3" t="s">
        <v>17</v>
      </c>
      <c r="J367" s="3" t="s">
        <v>121</v>
      </c>
      <c r="K367" s="3" t="s">
        <v>361</v>
      </c>
      <c r="L367" s="3" t="s">
        <v>362</v>
      </c>
      <c r="M367" s="3" t="s">
        <v>363</v>
      </c>
      <c r="N367" s="3"/>
    </row>
    <row r="368" customFormat="false" ht="23.25" hidden="false" customHeight="true" outlineLevel="0" collapsed="false">
      <c r="A368" s="3" t="s">
        <v>360</v>
      </c>
      <c r="B368" s="3" t="s">
        <v>360</v>
      </c>
      <c r="C368" s="4" t="s">
        <v>15</v>
      </c>
      <c r="D368" s="3" t="s">
        <v>25</v>
      </c>
      <c r="E368" s="5" t="n">
        <v>91.39</v>
      </c>
      <c r="F368" s="3" t="s">
        <v>25</v>
      </c>
      <c r="G368" s="5" t="n">
        <v>91.39</v>
      </c>
      <c r="H368" s="5" t="n">
        <f aca="false">ROUND(ABS(G368)-ABS(E368),2)</f>
        <v>0</v>
      </c>
      <c r="I368" s="3" t="s">
        <v>17</v>
      </c>
      <c r="J368" s="3" t="s">
        <v>121</v>
      </c>
      <c r="K368" s="3" t="s">
        <v>361</v>
      </c>
      <c r="L368" s="3" t="s">
        <v>362</v>
      </c>
      <c r="M368" s="3" t="s">
        <v>363</v>
      </c>
      <c r="N368" s="3"/>
    </row>
    <row r="369" customFormat="false" ht="23.25" hidden="false" customHeight="true" outlineLevel="0" collapsed="false">
      <c r="A369" s="3" t="s">
        <v>360</v>
      </c>
      <c r="B369" s="3" t="s">
        <v>360</v>
      </c>
      <c r="C369" s="4" t="s">
        <v>15</v>
      </c>
      <c r="D369" s="3" t="s">
        <v>26</v>
      </c>
      <c r="E369" s="5" t="n">
        <v>0</v>
      </c>
      <c r="F369" s="3" t="s">
        <v>26</v>
      </c>
      <c r="G369" s="5" t="n">
        <v>0</v>
      </c>
      <c r="H369" s="5" t="n">
        <f aca="false">ROUND(ABS(G369)-ABS(E369),2)</f>
        <v>0</v>
      </c>
      <c r="I369" s="3" t="s">
        <v>17</v>
      </c>
      <c r="J369" s="3" t="s">
        <v>121</v>
      </c>
      <c r="K369" s="3" t="s">
        <v>361</v>
      </c>
      <c r="L369" s="3" t="s">
        <v>362</v>
      </c>
      <c r="M369" s="3" t="s">
        <v>363</v>
      </c>
      <c r="N369" s="3" t="s">
        <v>27</v>
      </c>
    </row>
    <row r="370" customFormat="false" ht="23.25" hidden="false" customHeight="true" outlineLevel="0" collapsed="false">
      <c r="A370" s="3" t="s">
        <v>360</v>
      </c>
      <c r="B370" s="3" t="s">
        <v>360</v>
      </c>
      <c r="C370" s="6" t="s">
        <v>28</v>
      </c>
      <c r="D370" s="3" t="s">
        <v>29</v>
      </c>
      <c r="E370" s="5" t="n">
        <v>2149.57</v>
      </c>
      <c r="F370" s="3" t="s">
        <v>29</v>
      </c>
      <c r="G370" s="5" t="n">
        <v>-2464.23</v>
      </c>
      <c r="H370" s="5" t="n">
        <f aca="false">ROUND(ABS(G370)-ABS(E370),2)</f>
        <v>314.66</v>
      </c>
      <c r="I370" s="3" t="s">
        <v>17</v>
      </c>
      <c r="J370" s="3" t="s">
        <v>121</v>
      </c>
      <c r="K370" s="3" t="s">
        <v>361</v>
      </c>
      <c r="L370" s="3" t="s">
        <v>362</v>
      </c>
      <c r="M370" s="3" t="s">
        <v>363</v>
      </c>
      <c r="N370" s="3" t="s">
        <v>30</v>
      </c>
    </row>
    <row r="371" customFormat="false" ht="23.25" hidden="false" customHeight="true" outlineLevel="0" collapsed="false">
      <c r="A371" s="3" t="s">
        <v>360</v>
      </c>
      <c r="B371" s="3" t="s">
        <v>360</v>
      </c>
      <c r="C371" s="7" t="s">
        <v>37</v>
      </c>
      <c r="D371" s="3" t="s">
        <v>16</v>
      </c>
      <c r="E371" s="5" t="n">
        <v>3450</v>
      </c>
      <c r="F371" s="3" t="s">
        <v>16</v>
      </c>
      <c r="G371" s="5" t="s">
        <v>37</v>
      </c>
      <c r="H371" s="5" t="s">
        <v>37</v>
      </c>
      <c r="I371" s="3" t="s">
        <v>361</v>
      </c>
      <c r="J371" s="3" t="s">
        <v>125</v>
      </c>
      <c r="K371" s="3" t="s">
        <v>361</v>
      </c>
      <c r="L371" s="3" t="s">
        <v>362</v>
      </c>
      <c r="M371" s="3"/>
      <c r="N371" s="3" t="s">
        <v>126</v>
      </c>
    </row>
    <row r="372" customFormat="false" ht="23.25" hidden="false" customHeight="true" outlineLevel="0" collapsed="false">
      <c r="A372" s="3" t="s">
        <v>360</v>
      </c>
      <c r="B372" s="3" t="s">
        <v>360</v>
      </c>
      <c r="C372" s="7" t="s">
        <v>37</v>
      </c>
      <c r="D372" s="3" t="s">
        <v>21</v>
      </c>
      <c r="E372" s="5" t="n">
        <v>500.22</v>
      </c>
      <c r="F372" s="3" t="s">
        <v>21</v>
      </c>
      <c r="G372" s="5" t="s">
        <v>37</v>
      </c>
      <c r="H372" s="5" t="s">
        <v>37</v>
      </c>
      <c r="I372" s="3" t="s">
        <v>361</v>
      </c>
      <c r="J372" s="3" t="s">
        <v>125</v>
      </c>
      <c r="K372" s="3" t="s">
        <v>361</v>
      </c>
      <c r="L372" s="3" t="s">
        <v>362</v>
      </c>
      <c r="M372" s="3"/>
      <c r="N372" s="3" t="s">
        <v>126</v>
      </c>
    </row>
    <row r="373" customFormat="false" ht="23.25" hidden="false" customHeight="true" outlineLevel="0" collapsed="false">
      <c r="A373" s="3" t="s">
        <v>360</v>
      </c>
      <c r="B373" s="3" t="s">
        <v>360</v>
      </c>
      <c r="C373" s="7" t="s">
        <v>37</v>
      </c>
      <c r="D373" s="3" t="s">
        <v>24</v>
      </c>
      <c r="E373" s="5" t="n">
        <v>1263.58</v>
      </c>
      <c r="F373" s="3" t="s">
        <v>24</v>
      </c>
      <c r="G373" s="5" t="s">
        <v>37</v>
      </c>
      <c r="H373" s="5" t="s">
        <v>37</v>
      </c>
      <c r="I373" s="3" t="s">
        <v>361</v>
      </c>
      <c r="J373" s="3" t="s">
        <v>125</v>
      </c>
      <c r="K373" s="3" t="s">
        <v>361</v>
      </c>
      <c r="L373" s="3" t="s">
        <v>362</v>
      </c>
      <c r="M373" s="3"/>
      <c r="N373" s="3" t="s">
        <v>126</v>
      </c>
    </row>
    <row r="374" customFormat="false" ht="23.25" hidden="false" customHeight="true" outlineLevel="0" collapsed="false">
      <c r="A374" s="3" t="s">
        <v>360</v>
      </c>
      <c r="B374" s="3" t="s">
        <v>360</v>
      </c>
      <c r="C374" s="7" t="s">
        <v>37</v>
      </c>
      <c r="D374" s="3" t="s">
        <v>25</v>
      </c>
      <c r="E374" s="5" t="n">
        <v>32.69</v>
      </c>
      <c r="F374" s="3" t="s">
        <v>25</v>
      </c>
      <c r="G374" s="5" t="s">
        <v>37</v>
      </c>
      <c r="H374" s="5" t="s">
        <v>37</v>
      </c>
      <c r="I374" s="3" t="s">
        <v>361</v>
      </c>
      <c r="J374" s="3" t="s">
        <v>125</v>
      </c>
      <c r="K374" s="3" t="s">
        <v>361</v>
      </c>
      <c r="L374" s="3" t="s">
        <v>362</v>
      </c>
      <c r="M374" s="3"/>
      <c r="N374" s="3" t="s">
        <v>126</v>
      </c>
    </row>
    <row r="375" customFormat="false" ht="34.5" hidden="false" customHeight="true" outlineLevel="0" collapsed="false">
      <c r="A375" s="3" t="s">
        <v>360</v>
      </c>
      <c r="B375" s="3" t="s">
        <v>360</v>
      </c>
      <c r="C375" s="4" t="s">
        <v>15</v>
      </c>
      <c r="D375" s="3" t="s">
        <v>16</v>
      </c>
      <c r="E375" s="5" t="n">
        <v>2300</v>
      </c>
      <c r="F375" s="3" t="s">
        <v>16</v>
      </c>
      <c r="G375" s="5" t="n">
        <v>2300</v>
      </c>
      <c r="H375" s="5" t="n">
        <f aca="false">ROUND(ABS(G375)-ABS(E375),2)</f>
        <v>0</v>
      </c>
      <c r="I375" s="3" t="s">
        <v>364</v>
      </c>
      <c r="J375" s="3"/>
      <c r="K375" s="3"/>
      <c r="L375" s="3" t="s">
        <v>365</v>
      </c>
      <c r="M375" s="3" t="s">
        <v>366</v>
      </c>
      <c r="N375" s="3"/>
    </row>
    <row r="376" customFormat="false" ht="34.5" hidden="false" customHeight="true" outlineLevel="0" collapsed="false">
      <c r="A376" s="3" t="s">
        <v>360</v>
      </c>
      <c r="B376" s="3" t="s">
        <v>360</v>
      </c>
      <c r="C376" s="6" t="s">
        <v>28</v>
      </c>
      <c r="D376" s="3" t="s">
        <v>21</v>
      </c>
      <c r="E376" s="5" t="n">
        <v>538.83</v>
      </c>
      <c r="F376" s="3" t="s">
        <v>21</v>
      </c>
      <c r="G376" s="5" t="n">
        <v>1039.05</v>
      </c>
      <c r="H376" s="5" t="n">
        <f aca="false">ROUND(ABS(G376)-ABS(E376),2)</f>
        <v>500.22</v>
      </c>
      <c r="I376" s="3" t="s">
        <v>364</v>
      </c>
      <c r="J376" s="3"/>
      <c r="K376" s="3"/>
      <c r="L376" s="3" t="s">
        <v>365</v>
      </c>
      <c r="M376" s="3" t="s">
        <v>367</v>
      </c>
      <c r="N376" s="3"/>
    </row>
    <row r="377" customFormat="false" ht="34.5" hidden="false" customHeight="true" outlineLevel="0" collapsed="false">
      <c r="A377" s="3" t="s">
        <v>360</v>
      </c>
      <c r="B377" s="3" t="s">
        <v>360</v>
      </c>
      <c r="C377" s="6" t="s">
        <v>28</v>
      </c>
      <c r="D377" s="3" t="s">
        <v>24</v>
      </c>
      <c r="E377" s="5" t="n">
        <v>1154.66</v>
      </c>
      <c r="F377" s="3" t="s">
        <v>24</v>
      </c>
      <c r="G377" s="5" t="n">
        <v>2418.24</v>
      </c>
      <c r="H377" s="5" t="n">
        <f aca="false">ROUND(ABS(G377)-ABS(E377),2)</f>
        <v>1263.58</v>
      </c>
      <c r="I377" s="3" t="s">
        <v>364</v>
      </c>
      <c r="J377" s="3"/>
      <c r="K377" s="3"/>
      <c r="L377" s="3" t="s">
        <v>365</v>
      </c>
      <c r="M377" s="3" t="s">
        <v>368</v>
      </c>
      <c r="N377" s="3"/>
    </row>
    <row r="378" customFormat="false" ht="34.5" hidden="false" customHeight="true" outlineLevel="0" collapsed="false">
      <c r="A378" s="3" t="s">
        <v>360</v>
      </c>
      <c r="B378" s="3" t="s">
        <v>360</v>
      </c>
      <c r="C378" s="7" t="s">
        <v>37</v>
      </c>
      <c r="D378" s="3" t="s">
        <v>25</v>
      </c>
      <c r="E378" s="5" t="n">
        <v>28.2</v>
      </c>
      <c r="F378" s="3" t="s">
        <v>25</v>
      </c>
      <c r="G378" s="5" t="n">
        <v>91.39</v>
      </c>
      <c r="H378" s="5" t="n">
        <f aca="false">ROUND(ABS(G378)-ABS(E378),2)</f>
        <v>63.19</v>
      </c>
      <c r="I378" s="3" t="s">
        <v>364</v>
      </c>
      <c r="J378" s="3"/>
      <c r="K378" s="3"/>
      <c r="L378" s="3" t="s">
        <v>369</v>
      </c>
      <c r="M378" s="3" t="s">
        <v>370</v>
      </c>
      <c r="N378" s="3" t="s">
        <v>62</v>
      </c>
    </row>
    <row r="379" customFormat="false" ht="23.25" hidden="false" customHeight="true" outlineLevel="0" collapsed="false">
      <c r="A379" s="3" t="s">
        <v>360</v>
      </c>
      <c r="B379" s="3" t="s">
        <v>360</v>
      </c>
      <c r="C379" s="7" t="s">
        <v>37</v>
      </c>
      <c r="D379" s="3" t="s">
        <v>29</v>
      </c>
      <c r="E379" s="5" t="s">
        <v>37</v>
      </c>
      <c r="F379" s="3" t="s">
        <v>29</v>
      </c>
      <c r="G379" s="5" t="s">
        <v>37</v>
      </c>
      <c r="H379" s="5" t="s">
        <v>37</v>
      </c>
      <c r="I379" s="3" t="s">
        <v>364</v>
      </c>
      <c r="J379" s="3" t="s">
        <v>38</v>
      </c>
      <c r="K379" s="3"/>
      <c r="L379" s="3" t="s">
        <v>39</v>
      </c>
      <c r="M379" s="3"/>
      <c r="N379" s="3" t="s">
        <v>40</v>
      </c>
    </row>
    <row r="380" customFormat="false" ht="15" hidden="false" customHeight="true" outlineLevel="0" collapsed="false">
      <c r="A380" s="3" t="s">
        <v>360</v>
      </c>
      <c r="B380" s="3" t="s">
        <v>360</v>
      </c>
      <c r="C380" s="7" t="s">
        <v>37</v>
      </c>
      <c r="D380" s="3" t="s">
        <v>25</v>
      </c>
      <c r="E380" s="5" t="n">
        <v>30.5</v>
      </c>
      <c r="F380" s="3" t="s">
        <v>25</v>
      </c>
      <c r="G380" s="5" t="s">
        <v>37</v>
      </c>
      <c r="H380" s="5" t="s">
        <v>37</v>
      </c>
      <c r="I380" s="3" t="s">
        <v>70</v>
      </c>
      <c r="J380" s="3" t="s">
        <v>71</v>
      </c>
      <c r="K380" s="3"/>
      <c r="L380" s="3" t="s">
        <v>72</v>
      </c>
      <c r="M380" s="3"/>
      <c r="N380" s="3" t="s">
        <v>73</v>
      </c>
    </row>
    <row r="381" customFormat="false" ht="75.75" hidden="false" customHeight="true" outlineLevel="0" collapsed="false">
      <c r="A381" s="8" t="s">
        <v>360</v>
      </c>
      <c r="B381" s="8" t="s">
        <v>360</v>
      </c>
      <c r="C381" s="8" t="s">
        <v>28</v>
      </c>
      <c r="D381" s="8" t="s">
        <v>47</v>
      </c>
      <c r="E381" s="8" t="s">
        <v>371</v>
      </c>
      <c r="F381" s="8" t="s">
        <v>47</v>
      </c>
      <c r="G381" s="8" t="s">
        <v>121</v>
      </c>
      <c r="H381" s="8"/>
      <c r="I381" s="8" t="s">
        <v>49</v>
      </c>
      <c r="J381" s="8" t="s">
        <v>121</v>
      </c>
      <c r="K381" s="8" t="s">
        <v>361</v>
      </c>
      <c r="L381" s="8" t="s">
        <v>362</v>
      </c>
      <c r="M381" s="8" t="s">
        <v>363</v>
      </c>
      <c r="N381" s="8" t="s">
        <v>50</v>
      </c>
    </row>
    <row r="382" customFormat="false" ht="23.25" hidden="false" customHeight="true" outlineLevel="0" collapsed="false">
      <c r="A382" s="3" t="s">
        <v>372</v>
      </c>
      <c r="B382" s="3" t="s">
        <v>372</v>
      </c>
      <c r="C382" s="4" t="s">
        <v>15</v>
      </c>
      <c r="D382" s="3" t="s">
        <v>16</v>
      </c>
      <c r="E382" s="5" t="n">
        <v>4180</v>
      </c>
      <c r="F382" s="3" t="s">
        <v>16</v>
      </c>
      <c r="G382" s="5" t="n">
        <v>4180</v>
      </c>
      <c r="H382" s="5" t="n">
        <f aca="false">ROUND(ABS(G382)-ABS(E382),2)</f>
        <v>0</v>
      </c>
      <c r="I382" s="3" t="s">
        <v>17</v>
      </c>
      <c r="J382" s="3" t="s">
        <v>18</v>
      </c>
      <c r="K382" s="3"/>
      <c r="L382" s="3" t="s">
        <v>373</v>
      </c>
      <c r="M382" s="3" t="s">
        <v>374</v>
      </c>
      <c r="N382" s="3"/>
    </row>
    <row r="383" customFormat="false" ht="23.25" hidden="false" customHeight="true" outlineLevel="0" collapsed="false">
      <c r="A383" s="3" t="s">
        <v>372</v>
      </c>
      <c r="B383" s="3" t="s">
        <v>372</v>
      </c>
      <c r="C383" s="4" t="s">
        <v>15</v>
      </c>
      <c r="D383" s="3" t="s">
        <v>21</v>
      </c>
      <c r="E383" s="5" t="n">
        <v>1000.72</v>
      </c>
      <c r="F383" s="3" t="s">
        <v>21</v>
      </c>
      <c r="G383" s="5" t="n">
        <v>1000.72</v>
      </c>
      <c r="H383" s="5" t="n">
        <f aca="false">ROUND(ABS(G383)-ABS(E383),2)</f>
        <v>0</v>
      </c>
      <c r="I383" s="3" t="s">
        <v>17</v>
      </c>
      <c r="J383" s="3" t="s">
        <v>18</v>
      </c>
      <c r="K383" s="3"/>
      <c r="L383" s="3" t="s">
        <v>373</v>
      </c>
      <c r="M383" s="3" t="s">
        <v>374</v>
      </c>
      <c r="N383" s="3"/>
    </row>
    <row r="384" customFormat="false" ht="23.25" hidden="false" customHeight="true" outlineLevel="0" collapsed="false">
      <c r="A384" s="3" t="s">
        <v>372</v>
      </c>
      <c r="B384" s="3" t="s">
        <v>372</v>
      </c>
      <c r="C384" s="4" t="s">
        <v>15</v>
      </c>
      <c r="D384" s="3" t="s">
        <v>22</v>
      </c>
      <c r="E384" s="5" t="n">
        <v>97</v>
      </c>
      <c r="F384" s="3" t="s">
        <v>22</v>
      </c>
      <c r="G384" s="5" t="n">
        <v>97</v>
      </c>
      <c r="H384" s="5" t="n">
        <f aca="false">ROUND(ABS(G384)-ABS(E384),2)</f>
        <v>0</v>
      </c>
      <c r="I384" s="3" t="s">
        <v>17</v>
      </c>
      <c r="J384" s="3" t="s">
        <v>18</v>
      </c>
      <c r="K384" s="3"/>
      <c r="L384" s="3" t="s">
        <v>373</v>
      </c>
      <c r="M384" s="3" t="s">
        <v>374</v>
      </c>
      <c r="N384" s="3" t="s">
        <v>23</v>
      </c>
    </row>
    <row r="385" customFormat="false" ht="23.25" hidden="false" customHeight="true" outlineLevel="0" collapsed="false">
      <c r="A385" s="3" t="s">
        <v>372</v>
      </c>
      <c r="B385" s="3" t="s">
        <v>372</v>
      </c>
      <c r="C385" s="4" t="s">
        <v>15</v>
      </c>
      <c r="D385" s="3" t="s">
        <v>24</v>
      </c>
      <c r="E385" s="5" t="n">
        <v>1990.55</v>
      </c>
      <c r="F385" s="3" t="s">
        <v>24</v>
      </c>
      <c r="G385" s="5" t="n">
        <v>1990.55</v>
      </c>
      <c r="H385" s="5" t="n">
        <f aca="false">ROUND(ABS(G385)-ABS(E385),2)</f>
        <v>0</v>
      </c>
      <c r="I385" s="3" t="s">
        <v>17</v>
      </c>
      <c r="J385" s="3" t="s">
        <v>18</v>
      </c>
      <c r="K385" s="3"/>
      <c r="L385" s="3" t="s">
        <v>373</v>
      </c>
      <c r="M385" s="3" t="s">
        <v>374</v>
      </c>
      <c r="N385" s="3"/>
    </row>
    <row r="386" customFormat="false" ht="23.25" hidden="false" customHeight="true" outlineLevel="0" collapsed="false">
      <c r="A386" s="3" t="s">
        <v>372</v>
      </c>
      <c r="B386" s="3" t="s">
        <v>372</v>
      </c>
      <c r="C386" s="4" t="s">
        <v>15</v>
      </c>
      <c r="D386" s="3" t="s">
        <v>25</v>
      </c>
      <c r="E386" s="5" t="n">
        <v>140.2</v>
      </c>
      <c r="F386" s="3" t="s">
        <v>25</v>
      </c>
      <c r="G386" s="5" t="n">
        <v>140.2</v>
      </c>
      <c r="H386" s="5" t="n">
        <f aca="false">ROUND(ABS(G386)-ABS(E386),2)</f>
        <v>0</v>
      </c>
      <c r="I386" s="3" t="s">
        <v>17</v>
      </c>
      <c r="J386" s="3" t="s">
        <v>18</v>
      </c>
      <c r="K386" s="3"/>
      <c r="L386" s="3" t="s">
        <v>373</v>
      </c>
      <c r="M386" s="3" t="s">
        <v>374</v>
      </c>
      <c r="N386" s="3"/>
    </row>
    <row r="387" customFormat="false" ht="23.25" hidden="false" customHeight="true" outlineLevel="0" collapsed="false">
      <c r="A387" s="3" t="s">
        <v>372</v>
      </c>
      <c r="B387" s="3" t="s">
        <v>372</v>
      </c>
      <c r="C387" s="4" t="s">
        <v>15</v>
      </c>
      <c r="D387" s="3" t="s">
        <v>26</v>
      </c>
      <c r="E387" s="5" t="n">
        <v>0</v>
      </c>
      <c r="F387" s="3" t="s">
        <v>26</v>
      </c>
      <c r="G387" s="5" t="n">
        <v>0</v>
      </c>
      <c r="H387" s="5" t="n">
        <f aca="false">ROUND(ABS(G387)-ABS(E387),2)</f>
        <v>0</v>
      </c>
      <c r="I387" s="3" t="s">
        <v>17</v>
      </c>
      <c r="J387" s="3" t="s">
        <v>18</v>
      </c>
      <c r="K387" s="3"/>
      <c r="L387" s="3" t="s">
        <v>373</v>
      </c>
      <c r="M387" s="3" t="s">
        <v>374</v>
      </c>
      <c r="N387" s="3" t="s">
        <v>27</v>
      </c>
    </row>
    <row r="388" customFormat="false" ht="23.25" hidden="false" customHeight="true" outlineLevel="0" collapsed="false">
      <c r="A388" s="3" t="s">
        <v>372</v>
      </c>
      <c r="B388" s="3" t="s">
        <v>372</v>
      </c>
      <c r="C388" s="6" t="s">
        <v>28</v>
      </c>
      <c r="D388" s="3" t="s">
        <v>29</v>
      </c>
      <c r="E388" s="5" t="n">
        <v>943.53</v>
      </c>
      <c r="F388" s="3" t="s">
        <v>29</v>
      </c>
      <c r="G388" s="5" t="n">
        <v>-2367.23</v>
      </c>
      <c r="H388" s="5" t="n">
        <f aca="false">ROUND(ABS(G388)-ABS(E388),2)</f>
        <v>1423.7</v>
      </c>
      <c r="I388" s="3" t="s">
        <v>17</v>
      </c>
      <c r="J388" s="3" t="s">
        <v>18</v>
      </c>
      <c r="K388" s="3"/>
      <c r="L388" s="3" t="s">
        <v>373</v>
      </c>
      <c r="M388" s="3" t="s">
        <v>374</v>
      </c>
      <c r="N388" s="3" t="s">
        <v>30</v>
      </c>
    </row>
    <row r="389" customFormat="false" ht="34.5" hidden="false" customHeight="true" outlineLevel="0" collapsed="false">
      <c r="A389" s="3" t="s">
        <v>372</v>
      </c>
      <c r="B389" s="3" t="s">
        <v>372</v>
      </c>
      <c r="C389" s="4" t="s">
        <v>15</v>
      </c>
      <c r="D389" s="3" t="s">
        <v>16</v>
      </c>
      <c r="E389" s="5" t="n">
        <v>1000</v>
      </c>
      <c r="F389" s="3" t="s">
        <v>16</v>
      </c>
      <c r="G389" s="5" t="n">
        <v>1000</v>
      </c>
      <c r="H389" s="5" t="n">
        <f aca="false">ROUND(ABS(G389)-ABS(E389),2)</f>
        <v>0</v>
      </c>
      <c r="I389" s="3" t="s">
        <v>375</v>
      </c>
      <c r="J389" s="3"/>
      <c r="K389" s="3"/>
      <c r="L389" s="3" t="s">
        <v>376</v>
      </c>
      <c r="M389" s="3" t="s">
        <v>377</v>
      </c>
      <c r="N389" s="3"/>
    </row>
    <row r="390" customFormat="false" ht="34.5" hidden="false" customHeight="true" outlineLevel="0" collapsed="false">
      <c r="A390" s="3" t="s">
        <v>372</v>
      </c>
      <c r="B390" s="3" t="s">
        <v>372</v>
      </c>
      <c r="C390" s="4" t="s">
        <v>15</v>
      </c>
      <c r="D390" s="3" t="s">
        <v>21</v>
      </c>
      <c r="E390" s="5" t="n">
        <v>569.57</v>
      </c>
      <c r="F390" s="3" t="s">
        <v>21</v>
      </c>
      <c r="G390" s="5" t="n">
        <v>569.57</v>
      </c>
      <c r="H390" s="5" t="n">
        <f aca="false">ROUND(ABS(G390)-ABS(E390),2)</f>
        <v>0</v>
      </c>
      <c r="I390" s="3" t="s">
        <v>375</v>
      </c>
      <c r="J390" s="3"/>
      <c r="K390" s="3"/>
      <c r="L390" s="3" t="s">
        <v>376</v>
      </c>
      <c r="M390" s="3" t="s">
        <v>378</v>
      </c>
      <c r="N390" s="3"/>
    </row>
    <row r="391" customFormat="false" ht="34.5" hidden="false" customHeight="true" outlineLevel="0" collapsed="false">
      <c r="A391" s="3" t="s">
        <v>372</v>
      </c>
      <c r="B391" s="3" t="s">
        <v>372</v>
      </c>
      <c r="C391" s="4" t="s">
        <v>15</v>
      </c>
      <c r="D391" s="3" t="s">
        <v>22</v>
      </c>
      <c r="E391" s="5" t="n">
        <v>97</v>
      </c>
      <c r="F391" s="3" t="s">
        <v>22</v>
      </c>
      <c r="G391" s="5" t="n">
        <v>97</v>
      </c>
      <c r="H391" s="5" t="n">
        <f aca="false">ROUND(ABS(G391)-ABS(E391),2)</f>
        <v>0</v>
      </c>
      <c r="I391" s="3" t="s">
        <v>375</v>
      </c>
      <c r="J391" s="3"/>
      <c r="K391" s="3"/>
      <c r="L391" s="3" t="s">
        <v>379</v>
      </c>
      <c r="M391" s="3" t="s">
        <v>380</v>
      </c>
      <c r="N391" s="3"/>
    </row>
    <row r="392" customFormat="false" ht="34.5" hidden="false" customHeight="true" outlineLevel="0" collapsed="false">
      <c r="A392" s="3" t="s">
        <v>372</v>
      </c>
      <c r="B392" s="3" t="s">
        <v>372</v>
      </c>
      <c r="C392" s="4" t="s">
        <v>15</v>
      </c>
      <c r="D392" s="3" t="s">
        <v>24</v>
      </c>
      <c r="E392" s="5" t="n">
        <v>736.59</v>
      </c>
      <c r="F392" s="3" t="s">
        <v>24</v>
      </c>
      <c r="G392" s="5" t="n">
        <v>736.59</v>
      </c>
      <c r="H392" s="5" t="n">
        <f aca="false">ROUND(ABS(G392)-ABS(E392),2)</f>
        <v>0</v>
      </c>
      <c r="I392" s="3" t="s">
        <v>375</v>
      </c>
      <c r="J392" s="3"/>
      <c r="K392" s="3"/>
      <c r="L392" s="3" t="s">
        <v>376</v>
      </c>
      <c r="M392" s="3" t="s">
        <v>381</v>
      </c>
      <c r="N392" s="3"/>
    </row>
    <row r="393" customFormat="false" ht="57" hidden="false" customHeight="true" outlineLevel="0" collapsed="false">
      <c r="A393" s="3" t="s">
        <v>372</v>
      </c>
      <c r="B393" s="3" t="s">
        <v>372</v>
      </c>
      <c r="C393" s="7" t="s">
        <v>37</v>
      </c>
      <c r="D393" s="3" t="s">
        <v>25</v>
      </c>
      <c r="E393" s="5" t="n">
        <v>24.51</v>
      </c>
      <c r="F393" s="3" t="s">
        <v>25</v>
      </c>
      <c r="G393" s="5" t="n">
        <v>140.2</v>
      </c>
      <c r="H393" s="5" t="n">
        <f aca="false">ROUND(ABS(G393)-ABS(E393),2)</f>
        <v>115.69</v>
      </c>
      <c r="I393" s="3" t="s">
        <v>375</v>
      </c>
      <c r="J393" s="3"/>
      <c r="K393" s="3"/>
      <c r="L393" s="3" t="s">
        <v>382</v>
      </c>
      <c r="M393" s="3" t="s">
        <v>383</v>
      </c>
      <c r="N393" s="3" t="s">
        <v>62</v>
      </c>
    </row>
    <row r="394" customFormat="false" ht="23.25" hidden="false" customHeight="true" outlineLevel="0" collapsed="false">
      <c r="A394" s="3" t="s">
        <v>372</v>
      </c>
      <c r="B394" s="3" t="s">
        <v>372</v>
      </c>
      <c r="C394" s="7" t="s">
        <v>37</v>
      </c>
      <c r="D394" s="3" t="s">
        <v>29</v>
      </c>
      <c r="E394" s="5" t="s">
        <v>37</v>
      </c>
      <c r="F394" s="3" t="s">
        <v>29</v>
      </c>
      <c r="G394" s="5" t="s">
        <v>37</v>
      </c>
      <c r="H394" s="5" t="s">
        <v>37</v>
      </c>
      <c r="I394" s="3" t="s">
        <v>375</v>
      </c>
      <c r="J394" s="3" t="s">
        <v>38</v>
      </c>
      <c r="K394" s="3"/>
      <c r="L394" s="3" t="s">
        <v>39</v>
      </c>
      <c r="M394" s="3"/>
      <c r="N394" s="3" t="s">
        <v>40</v>
      </c>
    </row>
    <row r="395" customFormat="false" ht="34.5" hidden="false" customHeight="true" outlineLevel="0" collapsed="false">
      <c r="A395" s="3" t="s">
        <v>372</v>
      </c>
      <c r="B395" s="3" t="s">
        <v>372</v>
      </c>
      <c r="C395" s="4" t="s">
        <v>15</v>
      </c>
      <c r="D395" s="3" t="s">
        <v>16</v>
      </c>
      <c r="E395" s="5" t="n">
        <v>3180</v>
      </c>
      <c r="F395" s="3" t="s">
        <v>16</v>
      </c>
      <c r="G395" s="5" t="n">
        <v>3180</v>
      </c>
      <c r="H395" s="5" t="n">
        <f aca="false">ROUND(ABS(G395)-ABS(E395),2)</f>
        <v>0</v>
      </c>
      <c r="I395" s="3" t="s">
        <v>384</v>
      </c>
      <c r="J395" s="3"/>
      <c r="K395" s="3"/>
      <c r="L395" s="3" t="s">
        <v>376</v>
      </c>
      <c r="M395" s="3" t="s">
        <v>385</v>
      </c>
      <c r="N395" s="3"/>
    </row>
    <row r="396" customFormat="false" ht="34.5" hidden="false" customHeight="true" outlineLevel="0" collapsed="false">
      <c r="A396" s="3" t="s">
        <v>372</v>
      </c>
      <c r="B396" s="3" t="s">
        <v>372</v>
      </c>
      <c r="C396" s="4" t="s">
        <v>15</v>
      </c>
      <c r="D396" s="3" t="s">
        <v>21</v>
      </c>
      <c r="E396" s="5" t="n">
        <v>431.15</v>
      </c>
      <c r="F396" s="3" t="s">
        <v>21</v>
      </c>
      <c r="G396" s="5" t="n">
        <v>431.15</v>
      </c>
      <c r="H396" s="5" t="n">
        <f aca="false">ROUND(ABS(G396)-ABS(E396),2)</f>
        <v>0</v>
      </c>
      <c r="I396" s="3" t="s">
        <v>384</v>
      </c>
      <c r="J396" s="3"/>
      <c r="K396" s="3"/>
      <c r="L396" s="3" t="s">
        <v>376</v>
      </c>
      <c r="M396" s="3" t="s">
        <v>386</v>
      </c>
      <c r="N396" s="3"/>
    </row>
    <row r="397" customFormat="false" ht="34.5" hidden="false" customHeight="true" outlineLevel="0" collapsed="false">
      <c r="A397" s="3" t="s">
        <v>372</v>
      </c>
      <c r="B397" s="3" t="s">
        <v>372</v>
      </c>
      <c r="C397" s="4" t="s">
        <v>15</v>
      </c>
      <c r="D397" s="3" t="s">
        <v>24</v>
      </c>
      <c r="E397" s="5" t="n">
        <v>1253.96</v>
      </c>
      <c r="F397" s="3" t="s">
        <v>24</v>
      </c>
      <c r="G397" s="5" t="n">
        <v>1253.96</v>
      </c>
      <c r="H397" s="5" t="n">
        <f aca="false">ROUND(ABS(G397)-ABS(E397),2)</f>
        <v>0</v>
      </c>
      <c r="I397" s="3" t="s">
        <v>384</v>
      </c>
      <c r="J397" s="3"/>
      <c r="K397" s="3"/>
      <c r="L397" s="3" t="s">
        <v>376</v>
      </c>
      <c r="M397" s="3" t="s">
        <v>387</v>
      </c>
      <c r="N397" s="3"/>
    </row>
    <row r="398" customFormat="false" ht="34.5" hidden="false" customHeight="true" outlineLevel="0" collapsed="false">
      <c r="A398" s="3" t="s">
        <v>372</v>
      </c>
      <c r="B398" s="3" t="s">
        <v>372</v>
      </c>
      <c r="C398" s="6" t="s">
        <v>28</v>
      </c>
      <c r="D398" s="3" t="s">
        <v>25</v>
      </c>
      <c r="E398" s="5" t="n">
        <v>49.74</v>
      </c>
      <c r="F398" s="3" t="s">
        <v>25</v>
      </c>
      <c r="G398" s="5" t="n">
        <v>0</v>
      </c>
      <c r="H398" s="5" t="n">
        <f aca="false">ROUND(ABS(G398)-ABS(E398),2)</f>
        <v>-49.74</v>
      </c>
      <c r="I398" s="3" t="s">
        <v>384</v>
      </c>
      <c r="J398" s="3" t="s">
        <v>45</v>
      </c>
      <c r="K398" s="3"/>
      <c r="L398" s="3" t="s">
        <v>382</v>
      </c>
      <c r="M398" s="3"/>
      <c r="N398" s="3" t="s">
        <v>62</v>
      </c>
    </row>
    <row r="399" customFormat="false" ht="23.25" hidden="false" customHeight="true" outlineLevel="0" collapsed="false">
      <c r="A399" s="3" t="s">
        <v>372</v>
      </c>
      <c r="B399" s="3" t="s">
        <v>372</v>
      </c>
      <c r="C399" s="7" t="s">
        <v>37</v>
      </c>
      <c r="D399" s="3" t="s">
        <v>29</v>
      </c>
      <c r="E399" s="5" t="s">
        <v>37</v>
      </c>
      <c r="F399" s="3" t="s">
        <v>29</v>
      </c>
      <c r="G399" s="5" t="s">
        <v>37</v>
      </c>
      <c r="H399" s="5" t="s">
        <v>37</v>
      </c>
      <c r="I399" s="3" t="s">
        <v>384</v>
      </c>
      <c r="J399" s="3" t="s">
        <v>38</v>
      </c>
      <c r="K399" s="3"/>
      <c r="L399" s="3" t="s">
        <v>39</v>
      </c>
      <c r="M399" s="3"/>
      <c r="N399" s="3" t="s">
        <v>40</v>
      </c>
    </row>
    <row r="400" customFormat="false" ht="15" hidden="false" customHeight="true" outlineLevel="0" collapsed="false">
      <c r="A400" s="3" t="s">
        <v>372</v>
      </c>
      <c r="B400" s="3" t="s">
        <v>372</v>
      </c>
      <c r="C400" s="7" t="s">
        <v>37</v>
      </c>
      <c r="D400" s="3" t="s">
        <v>25</v>
      </c>
      <c r="E400" s="5" t="n">
        <v>65.95</v>
      </c>
      <c r="F400" s="3" t="s">
        <v>25</v>
      </c>
      <c r="G400" s="5" t="s">
        <v>37</v>
      </c>
      <c r="H400" s="5" t="s">
        <v>37</v>
      </c>
      <c r="I400" s="3" t="s">
        <v>70</v>
      </c>
      <c r="J400" s="3" t="s">
        <v>71</v>
      </c>
      <c r="K400" s="3"/>
      <c r="L400" s="3" t="s">
        <v>72</v>
      </c>
      <c r="M400" s="3"/>
      <c r="N400" s="3" t="s">
        <v>73</v>
      </c>
    </row>
    <row r="401" customFormat="false" ht="75.75" hidden="false" customHeight="true" outlineLevel="0" collapsed="false">
      <c r="A401" s="8" t="s">
        <v>372</v>
      </c>
      <c r="B401" s="8" t="s">
        <v>372</v>
      </c>
      <c r="C401" s="8" t="s">
        <v>28</v>
      </c>
      <c r="D401" s="8" t="s">
        <v>47</v>
      </c>
      <c r="E401" s="8" t="s">
        <v>388</v>
      </c>
      <c r="F401" s="8" t="s">
        <v>47</v>
      </c>
      <c r="G401" s="8" t="s">
        <v>18</v>
      </c>
      <c r="H401" s="8"/>
      <c r="I401" s="8" t="s">
        <v>49</v>
      </c>
      <c r="J401" s="8" t="s">
        <v>18</v>
      </c>
      <c r="K401" s="8"/>
      <c r="L401" s="8" t="s">
        <v>373</v>
      </c>
      <c r="M401" s="8" t="s">
        <v>374</v>
      </c>
      <c r="N401" s="8" t="s">
        <v>50</v>
      </c>
    </row>
    <row r="402" customFormat="false" ht="23.25" hidden="false" customHeight="true" outlineLevel="0" collapsed="false">
      <c r="A402" s="3" t="s">
        <v>389</v>
      </c>
      <c r="B402" s="3" t="s">
        <v>389</v>
      </c>
      <c r="C402" s="4" t="s">
        <v>15</v>
      </c>
      <c r="D402" s="3" t="s">
        <v>16</v>
      </c>
      <c r="E402" s="5" t="n">
        <v>8960</v>
      </c>
      <c r="F402" s="3" t="s">
        <v>16</v>
      </c>
      <c r="G402" s="5" t="n">
        <v>8960</v>
      </c>
      <c r="H402" s="5" t="n">
        <f aca="false">ROUND(ABS(G402)-ABS(E402),2)</f>
        <v>0</v>
      </c>
      <c r="I402" s="3" t="s">
        <v>17</v>
      </c>
      <c r="J402" s="3" t="s">
        <v>214</v>
      </c>
      <c r="K402" s="3"/>
      <c r="L402" s="3" t="s">
        <v>390</v>
      </c>
      <c r="M402" s="3" t="s">
        <v>391</v>
      </c>
      <c r="N402" s="3"/>
    </row>
    <row r="403" customFormat="false" ht="23.25" hidden="false" customHeight="true" outlineLevel="0" collapsed="false">
      <c r="A403" s="3" t="s">
        <v>389</v>
      </c>
      <c r="B403" s="3" t="s">
        <v>389</v>
      </c>
      <c r="C403" s="4" t="s">
        <v>15</v>
      </c>
      <c r="D403" s="3" t="s">
        <v>21</v>
      </c>
      <c r="E403" s="5" t="n">
        <v>1725.89</v>
      </c>
      <c r="F403" s="3" t="s">
        <v>21</v>
      </c>
      <c r="G403" s="5" t="n">
        <v>1725.89</v>
      </c>
      <c r="H403" s="5" t="n">
        <f aca="false">ROUND(ABS(G403)-ABS(E403),2)</f>
        <v>0</v>
      </c>
      <c r="I403" s="3" t="s">
        <v>17</v>
      </c>
      <c r="J403" s="3" t="s">
        <v>214</v>
      </c>
      <c r="K403" s="3"/>
      <c r="L403" s="3" t="s">
        <v>390</v>
      </c>
      <c r="M403" s="3" t="s">
        <v>391</v>
      </c>
      <c r="N403" s="3"/>
    </row>
    <row r="404" customFormat="false" ht="23.25" hidden="false" customHeight="true" outlineLevel="0" collapsed="false">
      <c r="A404" s="3" t="s">
        <v>389</v>
      </c>
      <c r="B404" s="3" t="s">
        <v>389</v>
      </c>
      <c r="C404" s="4" t="s">
        <v>15</v>
      </c>
      <c r="D404" s="3" t="s">
        <v>22</v>
      </c>
      <c r="E404" s="5" t="n">
        <v>0</v>
      </c>
      <c r="F404" s="3" t="s">
        <v>22</v>
      </c>
      <c r="G404" s="5" t="n">
        <v>0</v>
      </c>
      <c r="H404" s="5" t="n">
        <f aca="false">ROUND(ABS(G404)-ABS(E404),2)</f>
        <v>0</v>
      </c>
      <c r="I404" s="3" t="s">
        <v>17</v>
      </c>
      <c r="J404" s="3" t="s">
        <v>214</v>
      </c>
      <c r="K404" s="3"/>
      <c r="L404" s="3" t="s">
        <v>390</v>
      </c>
      <c r="M404" s="3" t="s">
        <v>391</v>
      </c>
      <c r="N404" s="3" t="s">
        <v>23</v>
      </c>
    </row>
    <row r="405" customFormat="false" ht="23.25" hidden="false" customHeight="true" outlineLevel="0" collapsed="false">
      <c r="A405" s="3" t="s">
        <v>389</v>
      </c>
      <c r="B405" s="3" t="s">
        <v>389</v>
      </c>
      <c r="C405" s="4" t="s">
        <v>15</v>
      </c>
      <c r="D405" s="3" t="s">
        <v>24</v>
      </c>
      <c r="E405" s="5" t="n">
        <v>4671.26</v>
      </c>
      <c r="F405" s="3" t="s">
        <v>24</v>
      </c>
      <c r="G405" s="5" t="n">
        <v>4671.26</v>
      </c>
      <c r="H405" s="5" t="n">
        <f aca="false">ROUND(ABS(G405)-ABS(E405),2)</f>
        <v>0</v>
      </c>
      <c r="I405" s="3" t="s">
        <v>17</v>
      </c>
      <c r="J405" s="3" t="s">
        <v>214</v>
      </c>
      <c r="K405" s="3"/>
      <c r="L405" s="3" t="s">
        <v>390</v>
      </c>
      <c r="M405" s="3" t="s">
        <v>391</v>
      </c>
      <c r="N405" s="3"/>
    </row>
    <row r="406" customFormat="false" ht="23.25" hidden="false" customHeight="true" outlineLevel="0" collapsed="false">
      <c r="A406" s="3" t="s">
        <v>389</v>
      </c>
      <c r="B406" s="3" t="s">
        <v>389</v>
      </c>
      <c r="C406" s="4" t="s">
        <v>15</v>
      </c>
      <c r="D406" s="3" t="s">
        <v>25</v>
      </c>
      <c r="E406" s="5" t="n">
        <v>271.71</v>
      </c>
      <c r="F406" s="3" t="s">
        <v>25</v>
      </c>
      <c r="G406" s="5" t="n">
        <v>271.71</v>
      </c>
      <c r="H406" s="5" t="n">
        <f aca="false">ROUND(ABS(G406)-ABS(E406),2)</f>
        <v>0</v>
      </c>
      <c r="I406" s="3" t="s">
        <v>17</v>
      </c>
      <c r="J406" s="3" t="s">
        <v>214</v>
      </c>
      <c r="K406" s="3"/>
      <c r="L406" s="3" t="s">
        <v>390</v>
      </c>
      <c r="M406" s="3" t="s">
        <v>391</v>
      </c>
      <c r="N406" s="3"/>
    </row>
    <row r="407" customFormat="false" ht="23.25" hidden="false" customHeight="true" outlineLevel="0" collapsed="false">
      <c r="A407" s="3" t="s">
        <v>389</v>
      </c>
      <c r="B407" s="3" t="s">
        <v>389</v>
      </c>
      <c r="C407" s="4" t="s">
        <v>15</v>
      </c>
      <c r="D407" s="3" t="s">
        <v>26</v>
      </c>
      <c r="E407" s="5" t="n">
        <v>0</v>
      </c>
      <c r="F407" s="3" t="s">
        <v>26</v>
      </c>
      <c r="G407" s="5" t="n">
        <v>0</v>
      </c>
      <c r="H407" s="5" t="n">
        <f aca="false">ROUND(ABS(G407)-ABS(E407),2)</f>
        <v>0</v>
      </c>
      <c r="I407" s="3" t="s">
        <v>17</v>
      </c>
      <c r="J407" s="3" t="s">
        <v>214</v>
      </c>
      <c r="K407" s="3"/>
      <c r="L407" s="3" t="s">
        <v>390</v>
      </c>
      <c r="M407" s="3" t="s">
        <v>391</v>
      </c>
      <c r="N407" s="3" t="s">
        <v>27</v>
      </c>
    </row>
    <row r="408" customFormat="false" ht="23.25" hidden="false" customHeight="true" outlineLevel="0" collapsed="false">
      <c r="A408" s="3" t="s">
        <v>389</v>
      </c>
      <c r="B408" s="3" t="s">
        <v>389</v>
      </c>
      <c r="C408" s="6" t="s">
        <v>28</v>
      </c>
      <c r="D408" s="3" t="s">
        <v>29</v>
      </c>
      <c r="E408" s="5" t="n">
        <v>2140.24</v>
      </c>
      <c r="F408" s="3" t="s">
        <v>29</v>
      </c>
      <c r="G408" s="5" t="n">
        <v>-5138.24</v>
      </c>
      <c r="H408" s="5" t="n">
        <f aca="false">ROUND(ABS(G408)-ABS(E408),2)</f>
        <v>2998</v>
      </c>
      <c r="I408" s="3" t="s">
        <v>17</v>
      </c>
      <c r="J408" s="3" t="s">
        <v>214</v>
      </c>
      <c r="K408" s="3"/>
      <c r="L408" s="3" t="s">
        <v>390</v>
      </c>
      <c r="M408" s="3" t="s">
        <v>391</v>
      </c>
      <c r="N408" s="3" t="s">
        <v>30</v>
      </c>
    </row>
    <row r="409" customFormat="false" ht="34.5" hidden="false" customHeight="true" outlineLevel="0" collapsed="false">
      <c r="A409" s="3" t="s">
        <v>389</v>
      </c>
      <c r="B409" s="3" t="s">
        <v>389</v>
      </c>
      <c r="C409" s="4" t="s">
        <v>15</v>
      </c>
      <c r="D409" s="3" t="s">
        <v>16</v>
      </c>
      <c r="E409" s="5" t="n">
        <v>4860</v>
      </c>
      <c r="F409" s="3" t="s">
        <v>16</v>
      </c>
      <c r="G409" s="5" t="n">
        <v>4860</v>
      </c>
      <c r="H409" s="5" t="n">
        <f aca="false">ROUND(ABS(G409)-ABS(E409),2)</f>
        <v>0</v>
      </c>
      <c r="I409" s="3" t="s">
        <v>392</v>
      </c>
      <c r="J409" s="3"/>
      <c r="K409" s="3"/>
      <c r="L409" s="3" t="s">
        <v>393</v>
      </c>
      <c r="M409" s="3" t="s">
        <v>394</v>
      </c>
      <c r="N409" s="3"/>
    </row>
    <row r="410" customFormat="false" ht="34.5" hidden="false" customHeight="true" outlineLevel="0" collapsed="false">
      <c r="A410" s="3" t="s">
        <v>389</v>
      </c>
      <c r="B410" s="3" t="s">
        <v>389</v>
      </c>
      <c r="C410" s="4" t="s">
        <v>15</v>
      </c>
      <c r="D410" s="3" t="s">
        <v>21</v>
      </c>
      <c r="E410" s="5" t="n">
        <v>670.68</v>
      </c>
      <c r="F410" s="3" t="s">
        <v>21</v>
      </c>
      <c r="G410" s="5" t="n">
        <v>670.68</v>
      </c>
      <c r="H410" s="5" t="n">
        <f aca="false">ROUND(ABS(G410)-ABS(E410),2)</f>
        <v>0</v>
      </c>
      <c r="I410" s="3" t="s">
        <v>392</v>
      </c>
      <c r="J410" s="3"/>
      <c r="K410" s="3"/>
      <c r="L410" s="3" t="s">
        <v>393</v>
      </c>
      <c r="M410" s="3" t="s">
        <v>395</v>
      </c>
      <c r="N410" s="3"/>
    </row>
    <row r="411" customFormat="false" ht="34.5" hidden="false" customHeight="true" outlineLevel="0" collapsed="false">
      <c r="A411" s="3" t="s">
        <v>389</v>
      </c>
      <c r="B411" s="3" t="s">
        <v>389</v>
      </c>
      <c r="C411" s="4" t="s">
        <v>15</v>
      </c>
      <c r="D411" s="3" t="s">
        <v>24</v>
      </c>
      <c r="E411" s="5" t="n">
        <v>2133.52</v>
      </c>
      <c r="F411" s="3" t="s">
        <v>24</v>
      </c>
      <c r="G411" s="5" t="n">
        <v>2133.52</v>
      </c>
      <c r="H411" s="5" t="n">
        <f aca="false">ROUND(ABS(G411)-ABS(E411),2)</f>
        <v>0</v>
      </c>
      <c r="I411" s="3" t="s">
        <v>392</v>
      </c>
      <c r="J411" s="3"/>
      <c r="K411" s="3"/>
      <c r="L411" s="3" t="s">
        <v>393</v>
      </c>
      <c r="M411" s="3" t="s">
        <v>396</v>
      </c>
      <c r="N411" s="3"/>
    </row>
    <row r="412" customFormat="false" ht="23.25" hidden="false" customHeight="true" outlineLevel="0" collapsed="false">
      <c r="A412" s="3" t="s">
        <v>389</v>
      </c>
      <c r="B412" s="3" t="s">
        <v>389</v>
      </c>
      <c r="C412" s="7" t="s">
        <v>37</v>
      </c>
      <c r="D412" s="3" t="s">
        <v>29</v>
      </c>
      <c r="E412" s="5" t="s">
        <v>37</v>
      </c>
      <c r="F412" s="3" t="s">
        <v>29</v>
      </c>
      <c r="G412" s="5" t="s">
        <v>37</v>
      </c>
      <c r="H412" s="5" t="s">
        <v>37</v>
      </c>
      <c r="I412" s="3" t="s">
        <v>392</v>
      </c>
      <c r="J412" s="3" t="s">
        <v>38</v>
      </c>
      <c r="K412" s="3"/>
      <c r="L412" s="3" t="s">
        <v>39</v>
      </c>
      <c r="M412" s="3"/>
      <c r="N412" s="3" t="s">
        <v>40</v>
      </c>
    </row>
    <row r="413" customFormat="false" ht="34.5" hidden="false" customHeight="true" outlineLevel="0" collapsed="false">
      <c r="A413" s="3" t="s">
        <v>389</v>
      </c>
      <c r="B413" s="3" t="s">
        <v>389</v>
      </c>
      <c r="C413" s="4" t="s">
        <v>15</v>
      </c>
      <c r="D413" s="3" t="s">
        <v>16</v>
      </c>
      <c r="E413" s="5" t="n">
        <v>1100</v>
      </c>
      <c r="F413" s="3" t="s">
        <v>16</v>
      </c>
      <c r="G413" s="5" t="n">
        <v>1100</v>
      </c>
      <c r="H413" s="5" t="n">
        <f aca="false">ROUND(ABS(G413)-ABS(E413),2)</f>
        <v>0</v>
      </c>
      <c r="I413" s="3" t="s">
        <v>397</v>
      </c>
      <c r="J413" s="3"/>
      <c r="K413" s="3"/>
      <c r="L413" s="3" t="s">
        <v>393</v>
      </c>
      <c r="M413" s="3" t="s">
        <v>398</v>
      </c>
      <c r="N413" s="3"/>
    </row>
    <row r="414" customFormat="false" ht="34.5" hidden="false" customHeight="true" outlineLevel="0" collapsed="false">
      <c r="A414" s="3" t="s">
        <v>389</v>
      </c>
      <c r="B414" s="3" t="s">
        <v>389</v>
      </c>
      <c r="C414" s="4" t="s">
        <v>15</v>
      </c>
      <c r="D414" s="3" t="s">
        <v>21</v>
      </c>
      <c r="E414" s="5" t="n">
        <v>369.86</v>
      </c>
      <c r="F414" s="3" t="s">
        <v>21</v>
      </c>
      <c r="G414" s="5" t="n">
        <v>369.86</v>
      </c>
      <c r="H414" s="5" t="n">
        <f aca="false">ROUND(ABS(G414)-ABS(E414),2)</f>
        <v>0</v>
      </c>
      <c r="I414" s="3" t="s">
        <v>397</v>
      </c>
      <c r="J414" s="3"/>
      <c r="K414" s="3"/>
      <c r="L414" s="3" t="s">
        <v>393</v>
      </c>
      <c r="M414" s="3" t="s">
        <v>399</v>
      </c>
      <c r="N414" s="3"/>
    </row>
    <row r="415" customFormat="false" ht="34.5" hidden="false" customHeight="true" outlineLevel="0" collapsed="false">
      <c r="A415" s="3" t="s">
        <v>389</v>
      </c>
      <c r="B415" s="3" t="s">
        <v>389</v>
      </c>
      <c r="C415" s="4" t="s">
        <v>15</v>
      </c>
      <c r="D415" s="3" t="s">
        <v>24</v>
      </c>
      <c r="E415" s="5" t="n">
        <v>1396.44</v>
      </c>
      <c r="F415" s="3" t="s">
        <v>24</v>
      </c>
      <c r="G415" s="5" t="n">
        <v>1396.44</v>
      </c>
      <c r="H415" s="5" t="n">
        <f aca="false">ROUND(ABS(G415)-ABS(E415),2)</f>
        <v>0</v>
      </c>
      <c r="I415" s="3" t="s">
        <v>397</v>
      </c>
      <c r="J415" s="3"/>
      <c r="K415" s="3"/>
      <c r="L415" s="3" t="s">
        <v>393</v>
      </c>
      <c r="M415" s="3" t="s">
        <v>400</v>
      </c>
      <c r="N415" s="3"/>
    </row>
    <row r="416" customFormat="false" ht="45.75" hidden="false" customHeight="true" outlineLevel="0" collapsed="false">
      <c r="A416" s="3" t="s">
        <v>389</v>
      </c>
      <c r="B416" s="3" t="s">
        <v>389</v>
      </c>
      <c r="C416" s="7" t="s">
        <v>37</v>
      </c>
      <c r="D416" s="3" t="s">
        <v>25</v>
      </c>
      <c r="E416" s="5" t="n">
        <v>0</v>
      </c>
      <c r="F416" s="3" t="s">
        <v>25</v>
      </c>
      <c r="G416" s="5" t="n">
        <v>271.71</v>
      </c>
      <c r="H416" s="5" t="n">
        <f aca="false">ROUND(ABS(G416)-ABS(E416),2)</f>
        <v>271.71</v>
      </c>
      <c r="I416" s="3" t="s">
        <v>397</v>
      </c>
      <c r="J416" s="3"/>
      <c r="K416" s="3"/>
      <c r="L416" s="3" t="s">
        <v>401</v>
      </c>
      <c r="M416" s="3" t="s">
        <v>402</v>
      </c>
      <c r="N416" s="3" t="s">
        <v>62</v>
      </c>
    </row>
    <row r="417" customFormat="false" ht="23.25" hidden="false" customHeight="true" outlineLevel="0" collapsed="false">
      <c r="A417" s="3" t="s">
        <v>389</v>
      </c>
      <c r="B417" s="3" t="s">
        <v>389</v>
      </c>
      <c r="C417" s="7" t="s">
        <v>37</v>
      </c>
      <c r="D417" s="3" t="s">
        <v>29</v>
      </c>
      <c r="E417" s="5" t="s">
        <v>37</v>
      </c>
      <c r="F417" s="3" t="s">
        <v>29</v>
      </c>
      <c r="G417" s="5" t="s">
        <v>37</v>
      </c>
      <c r="H417" s="5" t="s">
        <v>37</v>
      </c>
      <c r="I417" s="3" t="s">
        <v>397</v>
      </c>
      <c r="J417" s="3" t="s">
        <v>38</v>
      </c>
      <c r="K417" s="3"/>
      <c r="L417" s="3" t="s">
        <v>39</v>
      </c>
      <c r="M417" s="3"/>
      <c r="N417" s="3" t="s">
        <v>40</v>
      </c>
    </row>
    <row r="418" customFormat="false" ht="34.5" hidden="false" customHeight="true" outlineLevel="0" collapsed="false">
      <c r="A418" s="3" t="s">
        <v>389</v>
      </c>
      <c r="B418" s="3" t="s">
        <v>389</v>
      </c>
      <c r="C418" s="4" t="s">
        <v>15</v>
      </c>
      <c r="D418" s="3" t="s">
        <v>16</v>
      </c>
      <c r="E418" s="5" t="n">
        <v>3000</v>
      </c>
      <c r="F418" s="3" t="s">
        <v>16</v>
      </c>
      <c r="G418" s="5" t="n">
        <v>3000</v>
      </c>
      <c r="H418" s="5" t="n">
        <f aca="false">ROUND(ABS(G418)-ABS(E418),2)</f>
        <v>0</v>
      </c>
      <c r="I418" s="3" t="s">
        <v>403</v>
      </c>
      <c r="J418" s="3"/>
      <c r="K418" s="3"/>
      <c r="L418" s="3" t="s">
        <v>393</v>
      </c>
      <c r="M418" s="3" t="s">
        <v>404</v>
      </c>
      <c r="N418" s="3"/>
    </row>
    <row r="419" customFormat="false" ht="34.5" hidden="false" customHeight="true" outlineLevel="0" collapsed="false">
      <c r="A419" s="3" t="s">
        <v>389</v>
      </c>
      <c r="B419" s="3" t="s">
        <v>389</v>
      </c>
      <c r="C419" s="4" t="s">
        <v>15</v>
      </c>
      <c r="D419" s="3" t="s">
        <v>21</v>
      </c>
      <c r="E419" s="5" t="n">
        <v>685.35</v>
      </c>
      <c r="F419" s="3" t="s">
        <v>21</v>
      </c>
      <c r="G419" s="5" t="n">
        <v>685.35</v>
      </c>
      <c r="H419" s="5" t="n">
        <f aca="false">ROUND(ABS(G419)-ABS(E419),2)</f>
        <v>0</v>
      </c>
      <c r="I419" s="3" t="s">
        <v>403</v>
      </c>
      <c r="J419" s="3"/>
      <c r="K419" s="3"/>
      <c r="L419" s="3" t="s">
        <v>393</v>
      </c>
      <c r="M419" s="3" t="s">
        <v>405</v>
      </c>
      <c r="N419" s="3"/>
    </row>
    <row r="420" customFormat="false" ht="34.5" hidden="false" customHeight="true" outlineLevel="0" collapsed="false">
      <c r="A420" s="3" t="s">
        <v>389</v>
      </c>
      <c r="B420" s="3" t="s">
        <v>389</v>
      </c>
      <c r="C420" s="4" t="s">
        <v>15</v>
      </c>
      <c r="D420" s="3" t="s">
        <v>24</v>
      </c>
      <c r="E420" s="5" t="n">
        <v>1141.3</v>
      </c>
      <c r="F420" s="3" t="s">
        <v>24</v>
      </c>
      <c r="G420" s="5" t="n">
        <v>1141.3</v>
      </c>
      <c r="H420" s="5" t="n">
        <f aca="false">ROUND(ABS(G420)-ABS(E420),2)</f>
        <v>0</v>
      </c>
      <c r="I420" s="3" t="s">
        <v>403</v>
      </c>
      <c r="J420" s="3"/>
      <c r="K420" s="3"/>
      <c r="L420" s="3" t="s">
        <v>393</v>
      </c>
      <c r="M420" s="3" t="s">
        <v>406</v>
      </c>
      <c r="N420" s="3"/>
    </row>
    <row r="421" customFormat="false" ht="23.25" hidden="false" customHeight="true" outlineLevel="0" collapsed="false">
      <c r="A421" s="3" t="s">
        <v>389</v>
      </c>
      <c r="B421" s="3" t="s">
        <v>389</v>
      </c>
      <c r="C421" s="7" t="s">
        <v>37</v>
      </c>
      <c r="D421" s="3" t="s">
        <v>29</v>
      </c>
      <c r="E421" s="5" t="s">
        <v>37</v>
      </c>
      <c r="F421" s="3" t="s">
        <v>29</v>
      </c>
      <c r="G421" s="5" t="s">
        <v>37</v>
      </c>
      <c r="H421" s="5" t="s">
        <v>37</v>
      </c>
      <c r="I421" s="3" t="s">
        <v>403</v>
      </c>
      <c r="J421" s="3" t="s">
        <v>38</v>
      </c>
      <c r="K421" s="3"/>
      <c r="L421" s="3" t="s">
        <v>39</v>
      </c>
      <c r="M421" s="3"/>
      <c r="N421" s="3" t="s">
        <v>40</v>
      </c>
    </row>
    <row r="422" customFormat="false" ht="15" hidden="false" customHeight="true" outlineLevel="0" collapsed="false">
      <c r="A422" s="3" t="s">
        <v>389</v>
      </c>
      <c r="B422" s="3" t="s">
        <v>389</v>
      </c>
      <c r="C422" s="7" t="s">
        <v>37</v>
      </c>
      <c r="D422" s="3" t="s">
        <v>25</v>
      </c>
      <c r="E422" s="5" t="n">
        <v>271.71</v>
      </c>
      <c r="F422" s="3" t="s">
        <v>25</v>
      </c>
      <c r="G422" s="5" t="s">
        <v>37</v>
      </c>
      <c r="H422" s="5" t="s">
        <v>37</v>
      </c>
      <c r="I422" s="3" t="s">
        <v>70</v>
      </c>
      <c r="J422" s="3" t="s">
        <v>71</v>
      </c>
      <c r="K422" s="3"/>
      <c r="L422" s="3" t="s">
        <v>72</v>
      </c>
      <c r="M422" s="3"/>
      <c r="N422" s="3" t="s">
        <v>73</v>
      </c>
    </row>
    <row r="423" customFormat="false" ht="75.75" hidden="false" customHeight="true" outlineLevel="0" collapsed="false">
      <c r="A423" s="8" t="s">
        <v>389</v>
      </c>
      <c r="B423" s="8" t="s">
        <v>389</v>
      </c>
      <c r="C423" s="8" t="s">
        <v>28</v>
      </c>
      <c r="D423" s="8" t="s">
        <v>47</v>
      </c>
      <c r="E423" s="8" t="s">
        <v>407</v>
      </c>
      <c r="F423" s="8" t="s">
        <v>47</v>
      </c>
      <c r="G423" s="8" t="s">
        <v>214</v>
      </c>
      <c r="H423" s="8"/>
      <c r="I423" s="8" t="s">
        <v>49</v>
      </c>
      <c r="J423" s="8" t="s">
        <v>214</v>
      </c>
      <c r="K423" s="8"/>
      <c r="L423" s="8" t="s">
        <v>390</v>
      </c>
      <c r="M423" s="8" t="s">
        <v>391</v>
      </c>
      <c r="N423" s="8" t="s">
        <v>50</v>
      </c>
    </row>
    <row r="424" customFormat="false" ht="23.25" hidden="false" customHeight="true" outlineLevel="0" collapsed="false">
      <c r="A424" s="3" t="s">
        <v>408</v>
      </c>
      <c r="B424" s="3" t="s">
        <v>408</v>
      </c>
      <c r="C424" s="4" t="s">
        <v>15</v>
      </c>
      <c r="D424" s="3" t="s">
        <v>16</v>
      </c>
      <c r="E424" s="5" t="n">
        <v>8800</v>
      </c>
      <c r="F424" s="3" t="s">
        <v>16</v>
      </c>
      <c r="G424" s="5" t="n">
        <v>8800</v>
      </c>
      <c r="H424" s="5" t="n">
        <f aca="false">ROUND(ABS(G424)-ABS(E424),2)</f>
        <v>0</v>
      </c>
      <c r="I424" s="3" t="s">
        <v>17</v>
      </c>
      <c r="J424" s="3" t="s">
        <v>18</v>
      </c>
      <c r="K424" s="3"/>
      <c r="L424" s="3" t="s">
        <v>409</v>
      </c>
      <c r="M424" s="3" t="s">
        <v>410</v>
      </c>
      <c r="N424" s="3"/>
    </row>
    <row r="425" customFormat="false" ht="23.25" hidden="false" customHeight="true" outlineLevel="0" collapsed="false">
      <c r="A425" s="3" t="s">
        <v>408</v>
      </c>
      <c r="B425" s="3" t="s">
        <v>408</v>
      </c>
      <c r="C425" s="4" t="s">
        <v>15</v>
      </c>
      <c r="D425" s="3" t="s">
        <v>21</v>
      </c>
      <c r="E425" s="5" t="n">
        <v>1925.85</v>
      </c>
      <c r="F425" s="3" t="s">
        <v>21</v>
      </c>
      <c r="G425" s="5" t="n">
        <v>1925.85</v>
      </c>
      <c r="H425" s="5" t="n">
        <f aca="false">ROUND(ABS(G425)-ABS(E425),2)</f>
        <v>0</v>
      </c>
      <c r="I425" s="3" t="s">
        <v>17</v>
      </c>
      <c r="J425" s="3" t="s">
        <v>18</v>
      </c>
      <c r="K425" s="3"/>
      <c r="L425" s="3" t="s">
        <v>409</v>
      </c>
      <c r="M425" s="3" t="s">
        <v>410</v>
      </c>
      <c r="N425" s="3"/>
    </row>
    <row r="426" customFormat="false" ht="23.25" hidden="false" customHeight="true" outlineLevel="0" collapsed="false">
      <c r="A426" s="3" t="s">
        <v>408</v>
      </c>
      <c r="B426" s="3" t="s">
        <v>408</v>
      </c>
      <c r="C426" s="4" t="s">
        <v>15</v>
      </c>
      <c r="D426" s="3" t="s">
        <v>22</v>
      </c>
      <c r="E426" s="5" t="n">
        <v>100</v>
      </c>
      <c r="F426" s="3" t="s">
        <v>22</v>
      </c>
      <c r="G426" s="5" t="n">
        <v>100</v>
      </c>
      <c r="H426" s="5" t="n">
        <f aca="false">ROUND(ABS(G426)-ABS(E426),2)</f>
        <v>0</v>
      </c>
      <c r="I426" s="3" t="s">
        <v>17</v>
      </c>
      <c r="J426" s="3" t="s">
        <v>18</v>
      </c>
      <c r="K426" s="3"/>
      <c r="L426" s="3" t="s">
        <v>409</v>
      </c>
      <c r="M426" s="3" t="s">
        <v>410</v>
      </c>
      <c r="N426" s="3" t="s">
        <v>23</v>
      </c>
    </row>
    <row r="427" customFormat="false" ht="23.25" hidden="false" customHeight="true" outlineLevel="0" collapsed="false">
      <c r="A427" s="3" t="s">
        <v>408</v>
      </c>
      <c r="B427" s="3" t="s">
        <v>408</v>
      </c>
      <c r="C427" s="4" t="s">
        <v>15</v>
      </c>
      <c r="D427" s="3" t="s">
        <v>24</v>
      </c>
      <c r="E427" s="5" t="n">
        <v>3799.29</v>
      </c>
      <c r="F427" s="3" t="s">
        <v>24</v>
      </c>
      <c r="G427" s="5" t="n">
        <v>3799.29</v>
      </c>
      <c r="H427" s="5" t="n">
        <f aca="false">ROUND(ABS(G427)-ABS(E427),2)</f>
        <v>0</v>
      </c>
      <c r="I427" s="3" t="s">
        <v>17</v>
      </c>
      <c r="J427" s="3" t="s">
        <v>18</v>
      </c>
      <c r="K427" s="3"/>
      <c r="L427" s="3" t="s">
        <v>409</v>
      </c>
      <c r="M427" s="3" t="s">
        <v>410</v>
      </c>
      <c r="N427" s="3"/>
    </row>
    <row r="428" customFormat="false" ht="23.25" hidden="false" customHeight="true" outlineLevel="0" collapsed="false">
      <c r="A428" s="3" t="s">
        <v>408</v>
      </c>
      <c r="B428" s="3" t="s">
        <v>408</v>
      </c>
      <c r="C428" s="4" t="s">
        <v>15</v>
      </c>
      <c r="D428" s="3" t="s">
        <v>25</v>
      </c>
      <c r="E428" s="5" t="n">
        <v>156.42</v>
      </c>
      <c r="F428" s="3" t="s">
        <v>25</v>
      </c>
      <c r="G428" s="5" t="n">
        <v>156.42</v>
      </c>
      <c r="H428" s="5" t="n">
        <f aca="false">ROUND(ABS(G428)-ABS(E428),2)</f>
        <v>0</v>
      </c>
      <c r="I428" s="3" t="s">
        <v>17</v>
      </c>
      <c r="J428" s="3" t="s">
        <v>18</v>
      </c>
      <c r="K428" s="3"/>
      <c r="L428" s="3" t="s">
        <v>409</v>
      </c>
      <c r="M428" s="3" t="s">
        <v>410</v>
      </c>
      <c r="N428" s="3"/>
    </row>
    <row r="429" customFormat="false" ht="23.25" hidden="false" customHeight="true" outlineLevel="0" collapsed="false">
      <c r="A429" s="3" t="s">
        <v>408</v>
      </c>
      <c r="B429" s="3" t="s">
        <v>408</v>
      </c>
      <c r="C429" s="4" t="s">
        <v>15</v>
      </c>
      <c r="D429" s="3" t="s">
        <v>26</v>
      </c>
      <c r="E429" s="5" t="n">
        <v>0</v>
      </c>
      <c r="F429" s="3" t="s">
        <v>26</v>
      </c>
      <c r="G429" s="5" t="n">
        <v>0</v>
      </c>
      <c r="H429" s="5" t="n">
        <f aca="false">ROUND(ABS(G429)-ABS(E429),2)</f>
        <v>0</v>
      </c>
      <c r="I429" s="3" t="s">
        <v>17</v>
      </c>
      <c r="J429" s="3" t="s">
        <v>18</v>
      </c>
      <c r="K429" s="3"/>
      <c r="L429" s="3" t="s">
        <v>409</v>
      </c>
      <c r="M429" s="3" t="s">
        <v>410</v>
      </c>
      <c r="N429" s="3" t="s">
        <v>27</v>
      </c>
    </row>
    <row r="430" customFormat="false" ht="23.25" hidden="false" customHeight="true" outlineLevel="0" collapsed="false">
      <c r="A430" s="3" t="s">
        <v>408</v>
      </c>
      <c r="B430" s="3" t="s">
        <v>408</v>
      </c>
      <c r="C430" s="6" t="s">
        <v>28</v>
      </c>
      <c r="D430" s="3" t="s">
        <v>29</v>
      </c>
      <c r="E430" s="5" t="n">
        <v>2627.94</v>
      </c>
      <c r="F430" s="3" t="s">
        <v>29</v>
      </c>
      <c r="G430" s="5" t="n">
        <v>-2142.86</v>
      </c>
      <c r="H430" s="5" t="n">
        <f aca="false">ROUND(ABS(G430)-ABS(E430),2)</f>
        <v>-485.08</v>
      </c>
      <c r="I430" s="3" t="s">
        <v>17</v>
      </c>
      <c r="J430" s="3" t="s">
        <v>18</v>
      </c>
      <c r="K430" s="3"/>
      <c r="L430" s="3" t="s">
        <v>409</v>
      </c>
      <c r="M430" s="3" t="s">
        <v>410</v>
      </c>
      <c r="N430" s="3" t="s">
        <v>30</v>
      </c>
    </row>
    <row r="431" customFormat="false" ht="34.5" hidden="false" customHeight="true" outlineLevel="0" collapsed="false">
      <c r="A431" s="3" t="s">
        <v>408</v>
      </c>
      <c r="B431" s="3" t="s">
        <v>408</v>
      </c>
      <c r="C431" s="4" t="s">
        <v>15</v>
      </c>
      <c r="D431" s="3" t="s">
        <v>16</v>
      </c>
      <c r="E431" s="5" t="n">
        <v>4900</v>
      </c>
      <c r="F431" s="3" t="s">
        <v>16</v>
      </c>
      <c r="G431" s="5" t="n">
        <v>4900</v>
      </c>
      <c r="H431" s="5" t="n">
        <f aca="false">ROUND(ABS(G431)-ABS(E431),2)</f>
        <v>0</v>
      </c>
      <c r="I431" s="3" t="s">
        <v>411</v>
      </c>
      <c r="J431" s="3"/>
      <c r="K431" s="3"/>
      <c r="L431" s="3" t="s">
        <v>412</v>
      </c>
      <c r="M431" s="3" t="s">
        <v>413</v>
      </c>
      <c r="N431" s="3"/>
    </row>
    <row r="432" customFormat="false" ht="34.5" hidden="false" customHeight="true" outlineLevel="0" collapsed="false">
      <c r="A432" s="3" t="s">
        <v>408</v>
      </c>
      <c r="B432" s="3" t="s">
        <v>408</v>
      </c>
      <c r="C432" s="4" t="s">
        <v>15</v>
      </c>
      <c r="D432" s="3" t="s">
        <v>21</v>
      </c>
      <c r="E432" s="5" t="n">
        <v>945.1</v>
      </c>
      <c r="F432" s="3" t="s">
        <v>21</v>
      </c>
      <c r="G432" s="5" t="n">
        <v>945.1</v>
      </c>
      <c r="H432" s="5" t="n">
        <f aca="false">ROUND(ABS(G432)-ABS(E432),2)</f>
        <v>0</v>
      </c>
      <c r="I432" s="3" t="s">
        <v>411</v>
      </c>
      <c r="J432" s="3"/>
      <c r="K432" s="3"/>
      <c r="L432" s="3" t="s">
        <v>412</v>
      </c>
      <c r="M432" s="3" t="s">
        <v>414</v>
      </c>
      <c r="N432" s="3"/>
    </row>
    <row r="433" customFormat="false" ht="34.5" hidden="false" customHeight="true" outlineLevel="0" collapsed="false">
      <c r="A433" s="3" t="s">
        <v>408</v>
      </c>
      <c r="B433" s="3" t="s">
        <v>408</v>
      </c>
      <c r="C433" s="4" t="s">
        <v>15</v>
      </c>
      <c r="D433" s="3" t="s">
        <v>22</v>
      </c>
      <c r="E433" s="5" t="n">
        <v>50</v>
      </c>
      <c r="F433" s="3" t="s">
        <v>22</v>
      </c>
      <c r="G433" s="5" t="n">
        <v>50</v>
      </c>
      <c r="H433" s="5" t="n">
        <f aca="false">ROUND(ABS(G433)-ABS(E433),2)</f>
        <v>0</v>
      </c>
      <c r="I433" s="3" t="s">
        <v>411</v>
      </c>
      <c r="J433" s="3"/>
      <c r="K433" s="3"/>
      <c r="L433" s="3" t="s">
        <v>415</v>
      </c>
      <c r="M433" s="3" t="s">
        <v>416</v>
      </c>
      <c r="N433" s="3"/>
    </row>
    <row r="434" customFormat="false" ht="34.5" hidden="false" customHeight="true" outlineLevel="0" collapsed="false">
      <c r="A434" s="3" t="s">
        <v>408</v>
      </c>
      <c r="B434" s="3" t="s">
        <v>408</v>
      </c>
      <c r="C434" s="4" t="s">
        <v>15</v>
      </c>
      <c r="D434" s="3" t="s">
        <v>24</v>
      </c>
      <c r="E434" s="5" t="n">
        <v>1953.7</v>
      </c>
      <c r="F434" s="3" t="s">
        <v>24</v>
      </c>
      <c r="G434" s="5" t="n">
        <v>1953.7</v>
      </c>
      <c r="H434" s="5" t="n">
        <f aca="false">ROUND(ABS(G434)-ABS(E434),2)</f>
        <v>0</v>
      </c>
      <c r="I434" s="3" t="s">
        <v>411</v>
      </c>
      <c r="J434" s="3"/>
      <c r="K434" s="3"/>
      <c r="L434" s="3" t="s">
        <v>412</v>
      </c>
      <c r="M434" s="3" t="s">
        <v>417</v>
      </c>
      <c r="N434" s="3"/>
    </row>
    <row r="435" customFormat="false" ht="34.5" hidden="false" customHeight="true" outlineLevel="0" collapsed="false">
      <c r="A435" s="3" t="s">
        <v>408</v>
      </c>
      <c r="B435" s="3" t="s">
        <v>408</v>
      </c>
      <c r="C435" s="7" t="s">
        <v>37</v>
      </c>
      <c r="D435" s="3" t="s">
        <v>25</v>
      </c>
      <c r="E435" s="5" t="n">
        <v>43.43</v>
      </c>
      <c r="F435" s="3" t="s">
        <v>25</v>
      </c>
      <c r="G435" s="5" t="n">
        <v>156.42</v>
      </c>
      <c r="H435" s="5" t="n">
        <f aca="false">ROUND(ABS(G435)-ABS(E435),2)</f>
        <v>112.99</v>
      </c>
      <c r="I435" s="3" t="s">
        <v>411</v>
      </c>
      <c r="J435" s="3"/>
      <c r="K435" s="3"/>
      <c r="L435" s="3" t="s">
        <v>418</v>
      </c>
      <c r="M435" s="3" t="s">
        <v>419</v>
      </c>
      <c r="N435" s="3" t="s">
        <v>62</v>
      </c>
    </row>
    <row r="436" customFormat="false" ht="23.25" hidden="false" customHeight="true" outlineLevel="0" collapsed="false">
      <c r="A436" s="3" t="s">
        <v>408</v>
      </c>
      <c r="B436" s="3" t="s">
        <v>408</v>
      </c>
      <c r="C436" s="7" t="s">
        <v>37</v>
      </c>
      <c r="D436" s="3" t="s">
        <v>29</v>
      </c>
      <c r="E436" s="5" t="s">
        <v>37</v>
      </c>
      <c r="F436" s="3" t="s">
        <v>29</v>
      </c>
      <c r="G436" s="5" t="s">
        <v>37</v>
      </c>
      <c r="H436" s="5" t="s">
        <v>37</v>
      </c>
      <c r="I436" s="3" t="s">
        <v>411</v>
      </c>
      <c r="J436" s="3" t="s">
        <v>38</v>
      </c>
      <c r="K436" s="3"/>
      <c r="L436" s="3" t="s">
        <v>39</v>
      </c>
      <c r="M436" s="3"/>
      <c r="N436" s="3" t="s">
        <v>40</v>
      </c>
    </row>
    <row r="437" customFormat="false" ht="34.5" hidden="false" customHeight="true" outlineLevel="0" collapsed="false">
      <c r="A437" s="3" t="s">
        <v>408</v>
      </c>
      <c r="B437" s="3" t="s">
        <v>408</v>
      </c>
      <c r="C437" s="4" t="s">
        <v>15</v>
      </c>
      <c r="D437" s="3" t="s">
        <v>16</v>
      </c>
      <c r="E437" s="5" t="n">
        <v>3900</v>
      </c>
      <c r="F437" s="3" t="s">
        <v>16</v>
      </c>
      <c r="G437" s="5" t="n">
        <v>3900</v>
      </c>
      <c r="H437" s="5" t="n">
        <f aca="false">ROUND(ABS(G437)-ABS(E437),2)</f>
        <v>0</v>
      </c>
      <c r="I437" s="3" t="s">
        <v>420</v>
      </c>
      <c r="J437" s="3"/>
      <c r="K437" s="3"/>
      <c r="L437" s="3" t="s">
        <v>412</v>
      </c>
      <c r="M437" s="3" t="s">
        <v>421</v>
      </c>
      <c r="N437" s="3"/>
    </row>
    <row r="438" customFormat="false" ht="34.5" hidden="false" customHeight="true" outlineLevel="0" collapsed="false">
      <c r="A438" s="3" t="s">
        <v>408</v>
      </c>
      <c r="B438" s="3" t="s">
        <v>408</v>
      </c>
      <c r="C438" s="4" t="s">
        <v>15</v>
      </c>
      <c r="D438" s="3" t="s">
        <v>21</v>
      </c>
      <c r="E438" s="5" t="n">
        <v>980.75</v>
      </c>
      <c r="F438" s="3" t="s">
        <v>21</v>
      </c>
      <c r="G438" s="5" t="n">
        <v>980.75</v>
      </c>
      <c r="H438" s="5" t="n">
        <f aca="false">ROUND(ABS(G438)-ABS(E438),2)</f>
        <v>0</v>
      </c>
      <c r="I438" s="3" t="s">
        <v>420</v>
      </c>
      <c r="J438" s="3"/>
      <c r="K438" s="3"/>
      <c r="L438" s="3" t="s">
        <v>412</v>
      </c>
      <c r="M438" s="3" t="s">
        <v>422</v>
      </c>
      <c r="N438" s="3"/>
    </row>
    <row r="439" customFormat="false" ht="34.5" hidden="false" customHeight="true" outlineLevel="0" collapsed="false">
      <c r="A439" s="3" t="s">
        <v>408</v>
      </c>
      <c r="B439" s="3" t="s">
        <v>408</v>
      </c>
      <c r="C439" s="4" t="s">
        <v>15</v>
      </c>
      <c r="D439" s="3" t="s">
        <v>22</v>
      </c>
      <c r="E439" s="5" t="n">
        <v>50</v>
      </c>
      <c r="F439" s="3" t="s">
        <v>22</v>
      </c>
      <c r="G439" s="5" t="n">
        <v>50</v>
      </c>
      <c r="H439" s="5" t="n">
        <f aca="false">ROUND(ABS(G439)-ABS(E439),2)</f>
        <v>0</v>
      </c>
      <c r="I439" s="3" t="s">
        <v>420</v>
      </c>
      <c r="J439" s="3"/>
      <c r="K439" s="3"/>
      <c r="L439" s="3" t="s">
        <v>415</v>
      </c>
      <c r="M439" s="3" t="s">
        <v>423</v>
      </c>
      <c r="N439" s="3"/>
    </row>
    <row r="440" customFormat="false" ht="34.5" hidden="false" customHeight="true" outlineLevel="0" collapsed="false">
      <c r="A440" s="3" t="s">
        <v>408</v>
      </c>
      <c r="B440" s="3" t="s">
        <v>408</v>
      </c>
      <c r="C440" s="4" t="s">
        <v>15</v>
      </c>
      <c r="D440" s="3" t="s">
        <v>24</v>
      </c>
      <c r="E440" s="5" t="n">
        <v>1845.59</v>
      </c>
      <c r="F440" s="3" t="s">
        <v>24</v>
      </c>
      <c r="G440" s="5" t="n">
        <v>1845.59</v>
      </c>
      <c r="H440" s="5" t="n">
        <f aca="false">ROUND(ABS(G440)-ABS(E440),2)</f>
        <v>0</v>
      </c>
      <c r="I440" s="3" t="s">
        <v>420</v>
      </c>
      <c r="J440" s="3"/>
      <c r="K440" s="3"/>
      <c r="L440" s="3" t="s">
        <v>412</v>
      </c>
      <c r="M440" s="3" t="s">
        <v>424</v>
      </c>
      <c r="N440" s="3"/>
    </row>
    <row r="441" customFormat="false" ht="34.5" hidden="false" customHeight="true" outlineLevel="0" collapsed="false">
      <c r="A441" s="3" t="s">
        <v>408</v>
      </c>
      <c r="B441" s="3" t="s">
        <v>408</v>
      </c>
      <c r="C441" s="6" t="s">
        <v>28</v>
      </c>
      <c r="D441" s="3" t="s">
        <v>25</v>
      </c>
      <c r="E441" s="5" t="n">
        <v>70.61</v>
      </c>
      <c r="F441" s="3" t="s">
        <v>25</v>
      </c>
      <c r="G441" s="5" t="n">
        <v>0</v>
      </c>
      <c r="H441" s="5" t="n">
        <f aca="false">ROUND(ABS(G441)-ABS(E441),2)</f>
        <v>-70.61</v>
      </c>
      <c r="I441" s="3" t="s">
        <v>420</v>
      </c>
      <c r="J441" s="3" t="s">
        <v>45</v>
      </c>
      <c r="K441" s="3"/>
      <c r="L441" s="3" t="s">
        <v>418</v>
      </c>
      <c r="M441" s="3"/>
      <c r="N441" s="3" t="s">
        <v>62</v>
      </c>
    </row>
    <row r="442" customFormat="false" ht="23.25" hidden="false" customHeight="true" outlineLevel="0" collapsed="false">
      <c r="A442" s="3" t="s">
        <v>408</v>
      </c>
      <c r="B442" s="3" t="s">
        <v>408</v>
      </c>
      <c r="C442" s="7" t="s">
        <v>37</v>
      </c>
      <c r="D442" s="3" t="s">
        <v>29</v>
      </c>
      <c r="E442" s="5" t="s">
        <v>37</v>
      </c>
      <c r="F442" s="3" t="s">
        <v>29</v>
      </c>
      <c r="G442" s="5" t="s">
        <v>37</v>
      </c>
      <c r="H442" s="5" t="s">
        <v>37</v>
      </c>
      <c r="I442" s="3" t="s">
        <v>420</v>
      </c>
      <c r="J442" s="3" t="s">
        <v>38</v>
      </c>
      <c r="K442" s="3"/>
      <c r="L442" s="3" t="s">
        <v>39</v>
      </c>
      <c r="M442" s="3"/>
      <c r="N442" s="3" t="s">
        <v>40</v>
      </c>
    </row>
    <row r="443" customFormat="false" ht="15" hidden="false" customHeight="true" outlineLevel="0" collapsed="false">
      <c r="A443" s="3" t="s">
        <v>408</v>
      </c>
      <c r="B443" s="3" t="s">
        <v>408</v>
      </c>
      <c r="C443" s="7" t="s">
        <v>37</v>
      </c>
      <c r="D443" s="3" t="s">
        <v>25</v>
      </c>
      <c r="E443" s="5" t="n">
        <v>42.38</v>
      </c>
      <c r="F443" s="3" t="s">
        <v>25</v>
      </c>
      <c r="G443" s="5" t="s">
        <v>37</v>
      </c>
      <c r="H443" s="5" t="s">
        <v>37</v>
      </c>
      <c r="I443" s="3" t="s">
        <v>70</v>
      </c>
      <c r="J443" s="3" t="s">
        <v>71</v>
      </c>
      <c r="K443" s="3"/>
      <c r="L443" s="3" t="s">
        <v>72</v>
      </c>
      <c r="M443" s="3"/>
      <c r="N443" s="3" t="s">
        <v>73</v>
      </c>
    </row>
    <row r="444" customFormat="false" ht="75.75" hidden="false" customHeight="true" outlineLevel="0" collapsed="false">
      <c r="A444" s="8" t="s">
        <v>408</v>
      </c>
      <c r="B444" s="8" t="s">
        <v>408</v>
      </c>
      <c r="C444" s="8" t="s">
        <v>28</v>
      </c>
      <c r="D444" s="8" t="s">
        <v>47</v>
      </c>
      <c r="E444" s="8" t="s">
        <v>425</v>
      </c>
      <c r="F444" s="8" t="s">
        <v>47</v>
      </c>
      <c r="G444" s="8" t="s">
        <v>18</v>
      </c>
      <c r="H444" s="8"/>
      <c r="I444" s="8" t="s">
        <v>49</v>
      </c>
      <c r="J444" s="8" t="s">
        <v>18</v>
      </c>
      <c r="K444" s="8"/>
      <c r="L444" s="8" t="s">
        <v>409</v>
      </c>
      <c r="M444" s="8" t="s">
        <v>410</v>
      </c>
      <c r="N444" s="8" t="s">
        <v>50</v>
      </c>
    </row>
    <row r="445" customFormat="false" ht="23.25" hidden="false" customHeight="true" outlineLevel="0" collapsed="false">
      <c r="A445" s="3" t="s">
        <v>426</v>
      </c>
      <c r="B445" s="3" t="s">
        <v>426</v>
      </c>
      <c r="C445" s="6" t="s">
        <v>28</v>
      </c>
      <c r="D445" s="3" t="s">
        <v>16</v>
      </c>
      <c r="E445" s="5" t="n">
        <v>4000</v>
      </c>
      <c r="F445" s="3" t="s">
        <v>16</v>
      </c>
      <c r="G445" s="5" t="n">
        <v>7500</v>
      </c>
      <c r="H445" s="5" t="n">
        <f aca="false">ROUND(ABS(G445)-ABS(E445),2)</f>
        <v>3500</v>
      </c>
      <c r="I445" s="3" t="s">
        <v>17</v>
      </c>
      <c r="J445" s="3" t="s">
        <v>18</v>
      </c>
      <c r="K445" s="3"/>
      <c r="L445" s="3" t="s">
        <v>427</v>
      </c>
      <c r="M445" s="3" t="s">
        <v>428</v>
      </c>
      <c r="N445" s="3"/>
    </row>
    <row r="446" customFormat="false" ht="23.25" hidden="false" customHeight="true" outlineLevel="0" collapsed="false">
      <c r="A446" s="3" t="s">
        <v>426</v>
      </c>
      <c r="B446" s="3" t="s">
        <v>426</v>
      </c>
      <c r="C446" s="4" t="s">
        <v>15</v>
      </c>
      <c r="D446" s="3" t="s">
        <v>21</v>
      </c>
      <c r="E446" s="5" t="n">
        <v>1512.75</v>
      </c>
      <c r="F446" s="3" t="s">
        <v>21</v>
      </c>
      <c r="G446" s="5" t="n">
        <v>1512.75</v>
      </c>
      <c r="H446" s="5" t="n">
        <f aca="false">ROUND(ABS(G446)-ABS(E446),2)</f>
        <v>0</v>
      </c>
      <c r="I446" s="3" t="s">
        <v>17</v>
      </c>
      <c r="J446" s="3" t="s">
        <v>18</v>
      </c>
      <c r="K446" s="3"/>
      <c r="L446" s="3" t="s">
        <v>427</v>
      </c>
      <c r="M446" s="3" t="s">
        <v>428</v>
      </c>
      <c r="N446" s="3"/>
    </row>
    <row r="447" customFormat="false" ht="23.25" hidden="false" customHeight="true" outlineLevel="0" collapsed="false">
      <c r="A447" s="3" t="s">
        <v>426</v>
      </c>
      <c r="B447" s="3" t="s">
        <v>426</v>
      </c>
      <c r="C447" s="4" t="s">
        <v>15</v>
      </c>
      <c r="D447" s="3" t="s">
        <v>22</v>
      </c>
      <c r="E447" s="5" t="n">
        <v>0</v>
      </c>
      <c r="F447" s="3" t="s">
        <v>22</v>
      </c>
      <c r="G447" s="5" t="n">
        <v>0</v>
      </c>
      <c r="H447" s="5" t="n">
        <f aca="false">ROUND(ABS(G447)-ABS(E447),2)</f>
        <v>0</v>
      </c>
      <c r="I447" s="3" t="s">
        <v>17</v>
      </c>
      <c r="J447" s="3" t="s">
        <v>18</v>
      </c>
      <c r="K447" s="3"/>
      <c r="L447" s="3" t="s">
        <v>427</v>
      </c>
      <c r="M447" s="3" t="s">
        <v>428</v>
      </c>
      <c r="N447" s="3" t="s">
        <v>23</v>
      </c>
    </row>
    <row r="448" customFormat="false" ht="23.25" hidden="false" customHeight="true" outlineLevel="0" collapsed="false">
      <c r="A448" s="3" t="s">
        <v>426</v>
      </c>
      <c r="B448" s="3" t="s">
        <v>426</v>
      </c>
      <c r="C448" s="4" t="s">
        <v>15</v>
      </c>
      <c r="D448" s="3" t="s">
        <v>24</v>
      </c>
      <c r="E448" s="5" t="n">
        <v>3806.68</v>
      </c>
      <c r="F448" s="3" t="s">
        <v>24</v>
      </c>
      <c r="G448" s="5" t="n">
        <v>3806.68</v>
      </c>
      <c r="H448" s="5" t="n">
        <f aca="false">ROUND(ABS(G448)-ABS(E448),2)</f>
        <v>0</v>
      </c>
      <c r="I448" s="3" t="s">
        <v>17</v>
      </c>
      <c r="J448" s="3" t="s">
        <v>18</v>
      </c>
      <c r="K448" s="3"/>
      <c r="L448" s="3" t="s">
        <v>427</v>
      </c>
      <c r="M448" s="3" t="s">
        <v>428</v>
      </c>
      <c r="N448" s="3"/>
    </row>
    <row r="449" customFormat="false" ht="23.25" hidden="false" customHeight="true" outlineLevel="0" collapsed="false">
      <c r="A449" s="3" t="s">
        <v>426</v>
      </c>
      <c r="B449" s="3" t="s">
        <v>426</v>
      </c>
      <c r="C449" s="4" t="s">
        <v>15</v>
      </c>
      <c r="D449" s="3" t="s">
        <v>25</v>
      </c>
      <c r="E449" s="5" t="n">
        <v>189.42</v>
      </c>
      <c r="F449" s="3" t="s">
        <v>25</v>
      </c>
      <c r="G449" s="5" t="n">
        <v>189.42</v>
      </c>
      <c r="H449" s="5" t="n">
        <f aca="false">ROUND(ABS(G449)-ABS(E449),2)</f>
        <v>0</v>
      </c>
      <c r="I449" s="3" t="s">
        <v>17</v>
      </c>
      <c r="J449" s="3" t="s">
        <v>18</v>
      </c>
      <c r="K449" s="3"/>
      <c r="L449" s="3" t="s">
        <v>427</v>
      </c>
      <c r="M449" s="3" t="s">
        <v>428</v>
      </c>
      <c r="N449" s="3"/>
    </row>
    <row r="450" customFormat="false" ht="23.25" hidden="false" customHeight="true" outlineLevel="0" collapsed="false">
      <c r="A450" s="3" t="s">
        <v>426</v>
      </c>
      <c r="B450" s="3" t="s">
        <v>426</v>
      </c>
      <c r="C450" s="4" t="s">
        <v>15</v>
      </c>
      <c r="D450" s="3" t="s">
        <v>26</v>
      </c>
      <c r="E450" s="5" t="n">
        <v>0</v>
      </c>
      <c r="F450" s="3" t="s">
        <v>26</v>
      </c>
      <c r="G450" s="5" t="n">
        <v>0</v>
      </c>
      <c r="H450" s="5" t="n">
        <f aca="false">ROUND(ABS(G450)-ABS(E450),2)</f>
        <v>0</v>
      </c>
      <c r="I450" s="3" t="s">
        <v>17</v>
      </c>
      <c r="J450" s="3" t="s">
        <v>18</v>
      </c>
      <c r="K450" s="3"/>
      <c r="L450" s="3" t="s">
        <v>427</v>
      </c>
      <c r="M450" s="3" t="s">
        <v>428</v>
      </c>
      <c r="N450" s="3" t="s">
        <v>27</v>
      </c>
    </row>
    <row r="451" customFormat="false" ht="23.25" hidden="false" customHeight="true" outlineLevel="0" collapsed="false">
      <c r="A451" s="3" t="s">
        <v>426</v>
      </c>
      <c r="B451" s="3" t="s">
        <v>426</v>
      </c>
      <c r="C451" s="6" t="s">
        <v>28</v>
      </c>
      <c r="D451" s="3" t="s">
        <v>29</v>
      </c>
      <c r="E451" s="5" t="n">
        <v>-1508.85</v>
      </c>
      <c r="F451" s="3" t="s">
        <v>29</v>
      </c>
      <c r="G451" s="5" t="n">
        <v>-1984.15</v>
      </c>
      <c r="H451" s="5" t="n">
        <f aca="false">ROUND(ABS(G451)-ABS(E451),2)</f>
        <v>475.3</v>
      </c>
      <c r="I451" s="3" t="s">
        <v>17</v>
      </c>
      <c r="J451" s="3" t="s">
        <v>18</v>
      </c>
      <c r="K451" s="3"/>
      <c r="L451" s="3" t="s">
        <v>427</v>
      </c>
      <c r="M451" s="3" t="s">
        <v>428</v>
      </c>
      <c r="N451" s="3" t="s">
        <v>30</v>
      </c>
    </row>
    <row r="452" customFormat="false" ht="34.5" hidden="false" customHeight="true" outlineLevel="0" collapsed="false">
      <c r="A452" s="3" t="s">
        <v>426</v>
      </c>
      <c r="B452" s="3" t="s">
        <v>426</v>
      </c>
      <c r="C452" s="4" t="s">
        <v>15</v>
      </c>
      <c r="D452" s="3" t="s">
        <v>16</v>
      </c>
      <c r="E452" s="5" t="n">
        <v>4000</v>
      </c>
      <c r="F452" s="3" t="s">
        <v>16</v>
      </c>
      <c r="G452" s="5" t="n">
        <v>4000</v>
      </c>
      <c r="H452" s="5" t="n">
        <f aca="false">ROUND(ABS(G452)-ABS(E452),2)</f>
        <v>0</v>
      </c>
      <c r="I452" s="3" t="s">
        <v>429</v>
      </c>
      <c r="J452" s="3"/>
      <c r="K452" s="3"/>
      <c r="L452" s="3" t="s">
        <v>430</v>
      </c>
      <c r="M452" s="3" t="s">
        <v>431</v>
      </c>
      <c r="N452" s="3"/>
    </row>
    <row r="453" customFormat="false" ht="34.5" hidden="false" customHeight="true" outlineLevel="0" collapsed="false">
      <c r="A453" s="3" t="s">
        <v>426</v>
      </c>
      <c r="B453" s="3" t="s">
        <v>426</v>
      </c>
      <c r="C453" s="4" t="s">
        <v>15</v>
      </c>
      <c r="D453" s="3" t="s">
        <v>21</v>
      </c>
      <c r="E453" s="5" t="n">
        <v>751.05</v>
      </c>
      <c r="F453" s="3" t="s">
        <v>21</v>
      </c>
      <c r="G453" s="5" t="n">
        <v>751.05</v>
      </c>
      <c r="H453" s="5" t="n">
        <f aca="false">ROUND(ABS(G453)-ABS(E453),2)</f>
        <v>0</v>
      </c>
      <c r="I453" s="3" t="s">
        <v>429</v>
      </c>
      <c r="J453" s="3"/>
      <c r="K453" s="3"/>
      <c r="L453" s="3" t="s">
        <v>430</v>
      </c>
      <c r="M453" s="3" t="s">
        <v>432</v>
      </c>
      <c r="N453" s="3"/>
    </row>
    <row r="454" customFormat="false" ht="34.5" hidden="false" customHeight="true" outlineLevel="0" collapsed="false">
      <c r="A454" s="3" t="s">
        <v>426</v>
      </c>
      <c r="B454" s="3" t="s">
        <v>426</v>
      </c>
      <c r="C454" s="4" t="s">
        <v>15</v>
      </c>
      <c r="D454" s="3" t="s">
        <v>24</v>
      </c>
      <c r="E454" s="5" t="n">
        <v>1868.59</v>
      </c>
      <c r="F454" s="3" t="s">
        <v>24</v>
      </c>
      <c r="G454" s="5" t="n">
        <v>1868.59</v>
      </c>
      <c r="H454" s="5" t="n">
        <f aca="false">ROUND(ABS(G454)-ABS(E454),2)</f>
        <v>0</v>
      </c>
      <c r="I454" s="3" t="s">
        <v>429</v>
      </c>
      <c r="J454" s="3"/>
      <c r="K454" s="3"/>
      <c r="L454" s="3" t="s">
        <v>430</v>
      </c>
      <c r="M454" s="3" t="s">
        <v>433</v>
      </c>
      <c r="N454" s="3"/>
    </row>
    <row r="455" customFormat="false" ht="45.75" hidden="false" customHeight="true" outlineLevel="0" collapsed="false">
      <c r="A455" s="3" t="s">
        <v>426</v>
      </c>
      <c r="B455" s="3" t="s">
        <v>426</v>
      </c>
      <c r="C455" s="7" t="s">
        <v>37</v>
      </c>
      <c r="D455" s="3" t="s">
        <v>25</v>
      </c>
      <c r="E455" s="5" t="n">
        <v>51.72</v>
      </c>
      <c r="F455" s="3" t="s">
        <v>25</v>
      </c>
      <c r="G455" s="5" t="n">
        <v>189.42</v>
      </c>
      <c r="H455" s="5" t="n">
        <f aca="false">ROUND(ABS(G455)-ABS(E455),2)</f>
        <v>137.7</v>
      </c>
      <c r="I455" s="3" t="s">
        <v>429</v>
      </c>
      <c r="J455" s="3"/>
      <c r="K455" s="3"/>
      <c r="L455" s="3" t="s">
        <v>434</v>
      </c>
      <c r="M455" s="3" t="s">
        <v>435</v>
      </c>
      <c r="N455" s="3" t="s">
        <v>62</v>
      </c>
    </row>
    <row r="456" customFormat="false" ht="23.25" hidden="false" customHeight="true" outlineLevel="0" collapsed="false">
      <c r="A456" s="3" t="s">
        <v>426</v>
      </c>
      <c r="B456" s="3" t="s">
        <v>426</v>
      </c>
      <c r="C456" s="7" t="s">
        <v>37</v>
      </c>
      <c r="D456" s="3" t="s">
        <v>29</v>
      </c>
      <c r="E456" s="5" t="s">
        <v>37</v>
      </c>
      <c r="F456" s="3" t="s">
        <v>29</v>
      </c>
      <c r="G456" s="5" t="s">
        <v>37</v>
      </c>
      <c r="H456" s="5" t="s">
        <v>37</v>
      </c>
      <c r="I456" s="3" t="s">
        <v>429</v>
      </c>
      <c r="J456" s="3" t="s">
        <v>38</v>
      </c>
      <c r="K456" s="3"/>
      <c r="L456" s="3" t="s">
        <v>39</v>
      </c>
      <c r="M456" s="3"/>
      <c r="N456" s="3" t="s">
        <v>40</v>
      </c>
    </row>
    <row r="457" customFormat="false" ht="23.25" hidden="false" customHeight="true" outlineLevel="0" collapsed="false">
      <c r="A457" s="3" t="s">
        <v>426</v>
      </c>
      <c r="B457" s="3" t="s">
        <v>426</v>
      </c>
      <c r="C457" s="6" t="s">
        <v>28</v>
      </c>
      <c r="D457" s="3" t="s">
        <v>16</v>
      </c>
      <c r="E457" s="5" t="n">
        <v>0</v>
      </c>
      <c r="F457" s="3" t="s">
        <v>16</v>
      </c>
      <c r="G457" s="5" t="n">
        <v>3500</v>
      </c>
      <c r="H457" s="5" t="n">
        <f aca="false">ROUND(ABS(G457)-ABS(E457),2)</f>
        <v>3500</v>
      </c>
      <c r="I457" s="3" t="s">
        <v>436</v>
      </c>
      <c r="J457" s="3"/>
      <c r="K457" s="3"/>
      <c r="L457" s="3" t="s">
        <v>437</v>
      </c>
      <c r="M457" s="3" t="s">
        <v>438</v>
      </c>
      <c r="N457" s="3"/>
    </row>
    <row r="458" customFormat="false" ht="34.5" hidden="false" customHeight="true" outlineLevel="0" collapsed="false">
      <c r="A458" s="3" t="s">
        <v>426</v>
      </c>
      <c r="B458" s="3" t="s">
        <v>426</v>
      </c>
      <c r="C458" s="4" t="s">
        <v>15</v>
      </c>
      <c r="D458" s="3" t="s">
        <v>21</v>
      </c>
      <c r="E458" s="5" t="n">
        <v>761.7</v>
      </c>
      <c r="F458" s="3" t="s">
        <v>21</v>
      </c>
      <c r="G458" s="5" t="n">
        <v>761.7</v>
      </c>
      <c r="H458" s="5" t="n">
        <f aca="false">ROUND(ABS(G458)-ABS(E458),2)</f>
        <v>0</v>
      </c>
      <c r="I458" s="3" t="s">
        <v>436</v>
      </c>
      <c r="J458" s="3"/>
      <c r="K458" s="3"/>
      <c r="L458" s="3" t="s">
        <v>430</v>
      </c>
      <c r="M458" s="3" t="s">
        <v>439</v>
      </c>
      <c r="N458" s="3"/>
    </row>
    <row r="459" customFormat="false" ht="34.5" hidden="false" customHeight="true" outlineLevel="0" collapsed="false">
      <c r="A459" s="3" t="s">
        <v>426</v>
      </c>
      <c r="B459" s="3" t="s">
        <v>426</v>
      </c>
      <c r="C459" s="4" t="s">
        <v>15</v>
      </c>
      <c r="D459" s="3" t="s">
        <v>24</v>
      </c>
      <c r="E459" s="5" t="n">
        <v>1938.09</v>
      </c>
      <c r="F459" s="3" t="s">
        <v>24</v>
      </c>
      <c r="G459" s="5" t="n">
        <v>1938.09</v>
      </c>
      <c r="H459" s="5" t="n">
        <f aca="false">ROUND(ABS(G459)-ABS(E459),2)</f>
        <v>0</v>
      </c>
      <c r="I459" s="3" t="s">
        <v>436</v>
      </c>
      <c r="J459" s="3"/>
      <c r="K459" s="3"/>
      <c r="L459" s="3" t="s">
        <v>430</v>
      </c>
      <c r="M459" s="3" t="s">
        <v>440</v>
      </c>
      <c r="N459" s="3"/>
    </row>
    <row r="460" customFormat="false" ht="34.5" hidden="false" customHeight="true" outlineLevel="0" collapsed="false">
      <c r="A460" s="3" t="s">
        <v>426</v>
      </c>
      <c r="B460" s="3" t="s">
        <v>426</v>
      </c>
      <c r="C460" s="6" t="s">
        <v>28</v>
      </c>
      <c r="D460" s="3" t="s">
        <v>25</v>
      </c>
      <c r="E460" s="5" t="n">
        <v>72.64</v>
      </c>
      <c r="F460" s="3" t="s">
        <v>25</v>
      </c>
      <c r="G460" s="5" t="n">
        <v>0</v>
      </c>
      <c r="H460" s="5" t="n">
        <f aca="false">ROUND(ABS(G460)-ABS(E460),2)</f>
        <v>-72.64</v>
      </c>
      <c r="I460" s="3" t="s">
        <v>436</v>
      </c>
      <c r="J460" s="3" t="s">
        <v>45</v>
      </c>
      <c r="K460" s="3"/>
      <c r="L460" s="3" t="s">
        <v>434</v>
      </c>
      <c r="M460" s="3"/>
      <c r="N460" s="3" t="s">
        <v>62</v>
      </c>
    </row>
    <row r="461" customFormat="false" ht="23.25" hidden="false" customHeight="true" outlineLevel="0" collapsed="false">
      <c r="A461" s="3" t="s">
        <v>426</v>
      </c>
      <c r="B461" s="3" t="s">
        <v>426</v>
      </c>
      <c r="C461" s="7" t="s">
        <v>37</v>
      </c>
      <c r="D461" s="3" t="s">
        <v>29</v>
      </c>
      <c r="E461" s="5" t="s">
        <v>37</v>
      </c>
      <c r="F461" s="3" t="s">
        <v>29</v>
      </c>
      <c r="G461" s="5" t="s">
        <v>37</v>
      </c>
      <c r="H461" s="5" t="s">
        <v>37</v>
      </c>
      <c r="I461" s="3" t="s">
        <v>436</v>
      </c>
      <c r="J461" s="3" t="s">
        <v>38</v>
      </c>
      <c r="K461" s="3"/>
      <c r="L461" s="3" t="s">
        <v>39</v>
      </c>
      <c r="M461" s="3"/>
      <c r="N461" s="3" t="s">
        <v>40</v>
      </c>
    </row>
    <row r="462" customFormat="false" ht="15" hidden="false" customHeight="true" outlineLevel="0" collapsed="false">
      <c r="A462" s="3" t="s">
        <v>426</v>
      </c>
      <c r="B462" s="3" t="s">
        <v>426</v>
      </c>
      <c r="C462" s="7" t="s">
        <v>37</v>
      </c>
      <c r="D462" s="3" t="s">
        <v>25</v>
      </c>
      <c r="E462" s="5" t="n">
        <v>65.06</v>
      </c>
      <c r="F462" s="3" t="s">
        <v>25</v>
      </c>
      <c r="G462" s="5" t="s">
        <v>37</v>
      </c>
      <c r="H462" s="5" t="s">
        <v>37</v>
      </c>
      <c r="I462" s="3" t="s">
        <v>70</v>
      </c>
      <c r="J462" s="3" t="s">
        <v>71</v>
      </c>
      <c r="K462" s="3"/>
      <c r="L462" s="3" t="s">
        <v>72</v>
      </c>
      <c r="M462" s="3"/>
      <c r="N462" s="3" t="s">
        <v>73</v>
      </c>
    </row>
    <row r="463" customFormat="false" ht="75.75" hidden="false" customHeight="true" outlineLevel="0" collapsed="false">
      <c r="A463" s="8" t="s">
        <v>426</v>
      </c>
      <c r="B463" s="8" t="s">
        <v>426</v>
      </c>
      <c r="C463" s="8" t="s">
        <v>28</v>
      </c>
      <c r="D463" s="8" t="s">
        <v>47</v>
      </c>
      <c r="E463" s="8" t="s">
        <v>441</v>
      </c>
      <c r="F463" s="8" t="s">
        <v>47</v>
      </c>
      <c r="G463" s="8" t="s">
        <v>18</v>
      </c>
      <c r="H463" s="8"/>
      <c r="I463" s="8" t="s">
        <v>49</v>
      </c>
      <c r="J463" s="8" t="s">
        <v>18</v>
      </c>
      <c r="K463" s="8"/>
      <c r="L463" s="8" t="s">
        <v>427</v>
      </c>
      <c r="M463" s="8" t="s">
        <v>428</v>
      </c>
      <c r="N463" s="8" t="s">
        <v>442</v>
      </c>
    </row>
    <row r="464" customFormat="false" ht="23.25" hidden="false" customHeight="true" outlineLevel="0" collapsed="false">
      <c r="A464" s="3" t="s">
        <v>443</v>
      </c>
      <c r="B464" s="3" t="s">
        <v>443</v>
      </c>
      <c r="C464" s="4" t="s">
        <v>15</v>
      </c>
      <c r="D464" s="3" t="s">
        <v>16</v>
      </c>
      <c r="E464" s="5" t="n">
        <v>9200</v>
      </c>
      <c r="F464" s="3" t="s">
        <v>16</v>
      </c>
      <c r="G464" s="5" t="n">
        <v>9200</v>
      </c>
      <c r="H464" s="5" t="n">
        <f aca="false">ROUND(ABS(G464)-ABS(E464),2)</f>
        <v>0</v>
      </c>
      <c r="I464" s="3" t="s">
        <v>17</v>
      </c>
      <c r="J464" s="3" t="s">
        <v>18</v>
      </c>
      <c r="K464" s="3"/>
      <c r="L464" s="3" t="s">
        <v>444</v>
      </c>
      <c r="M464" s="3" t="s">
        <v>445</v>
      </c>
      <c r="N464" s="3"/>
    </row>
    <row r="465" customFormat="false" ht="23.25" hidden="false" customHeight="true" outlineLevel="0" collapsed="false">
      <c r="A465" s="3" t="s">
        <v>443</v>
      </c>
      <c r="B465" s="3" t="s">
        <v>443</v>
      </c>
      <c r="C465" s="4" t="s">
        <v>15</v>
      </c>
      <c r="D465" s="3" t="s">
        <v>21</v>
      </c>
      <c r="E465" s="5" t="n">
        <v>1690.03</v>
      </c>
      <c r="F465" s="3" t="s">
        <v>21</v>
      </c>
      <c r="G465" s="5" t="n">
        <v>1690.03</v>
      </c>
      <c r="H465" s="5" t="n">
        <f aca="false">ROUND(ABS(G465)-ABS(E465),2)</f>
        <v>0</v>
      </c>
      <c r="I465" s="3" t="s">
        <v>17</v>
      </c>
      <c r="J465" s="3" t="s">
        <v>18</v>
      </c>
      <c r="K465" s="3"/>
      <c r="L465" s="3" t="s">
        <v>444</v>
      </c>
      <c r="M465" s="3" t="s">
        <v>445</v>
      </c>
      <c r="N465" s="3"/>
    </row>
    <row r="466" customFormat="false" ht="23.25" hidden="false" customHeight="true" outlineLevel="0" collapsed="false">
      <c r="A466" s="3" t="s">
        <v>443</v>
      </c>
      <c r="B466" s="3" t="s">
        <v>443</v>
      </c>
      <c r="C466" s="4" t="s">
        <v>15</v>
      </c>
      <c r="D466" s="3" t="s">
        <v>22</v>
      </c>
      <c r="E466" s="5" t="n">
        <v>0</v>
      </c>
      <c r="F466" s="3" t="s">
        <v>22</v>
      </c>
      <c r="G466" s="5" t="n">
        <v>0</v>
      </c>
      <c r="H466" s="5" t="n">
        <f aca="false">ROUND(ABS(G466)-ABS(E466),2)</f>
        <v>0</v>
      </c>
      <c r="I466" s="3" t="s">
        <v>17</v>
      </c>
      <c r="J466" s="3" t="s">
        <v>18</v>
      </c>
      <c r="K466" s="3"/>
      <c r="L466" s="3" t="s">
        <v>444</v>
      </c>
      <c r="M466" s="3" t="s">
        <v>445</v>
      </c>
      <c r="N466" s="3" t="s">
        <v>23</v>
      </c>
    </row>
    <row r="467" customFormat="false" ht="23.25" hidden="false" customHeight="true" outlineLevel="0" collapsed="false">
      <c r="A467" s="3" t="s">
        <v>443</v>
      </c>
      <c r="B467" s="3" t="s">
        <v>443</v>
      </c>
      <c r="C467" s="4" t="s">
        <v>15</v>
      </c>
      <c r="D467" s="3" t="s">
        <v>24</v>
      </c>
      <c r="E467" s="5" t="n">
        <v>3840.27</v>
      </c>
      <c r="F467" s="3" t="s">
        <v>24</v>
      </c>
      <c r="G467" s="5" t="n">
        <v>3840.27</v>
      </c>
      <c r="H467" s="5" t="n">
        <f aca="false">ROUND(ABS(G467)-ABS(E467),2)</f>
        <v>0</v>
      </c>
      <c r="I467" s="3" t="s">
        <v>17</v>
      </c>
      <c r="J467" s="3" t="s">
        <v>18</v>
      </c>
      <c r="K467" s="3"/>
      <c r="L467" s="3" t="s">
        <v>444</v>
      </c>
      <c r="M467" s="3" t="s">
        <v>445</v>
      </c>
      <c r="N467" s="3"/>
    </row>
    <row r="468" customFormat="false" ht="23.25" hidden="false" customHeight="true" outlineLevel="0" collapsed="false">
      <c r="A468" s="3" t="s">
        <v>443</v>
      </c>
      <c r="B468" s="3" t="s">
        <v>443</v>
      </c>
      <c r="C468" s="4" t="s">
        <v>15</v>
      </c>
      <c r="D468" s="3" t="s">
        <v>25</v>
      </c>
      <c r="E468" s="5" t="n">
        <v>111.48</v>
      </c>
      <c r="F468" s="3" t="s">
        <v>25</v>
      </c>
      <c r="G468" s="5" t="n">
        <v>111.48</v>
      </c>
      <c r="H468" s="5" t="n">
        <f aca="false">ROUND(ABS(G468)-ABS(E468),2)</f>
        <v>0</v>
      </c>
      <c r="I468" s="3" t="s">
        <v>17</v>
      </c>
      <c r="J468" s="3" t="s">
        <v>18</v>
      </c>
      <c r="K468" s="3"/>
      <c r="L468" s="3" t="s">
        <v>444</v>
      </c>
      <c r="M468" s="3" t="s">
        <v>445</v>
      </c>
      <c r="N468" s="3"/>
    </row>
    <row r="469" customFormat="false" ht="23.25" hidden="false" customHeight="true" outlineLevel="0" collapsed="false">
      <c r="A469" s="3" t="s">
        <v>443</v>
      </c>
      <c r="B469" s="3" t="s">
        <v>443</v>
      </c>
      <c r="C469" s="4" t="s">
        <v>15</v>
      </c>
      <c r="D469" s="3" t="s">
        <v>26</v>
      </c>
      <c r="E469" s="5" t="n">
        <v>0</v>
      </c>
      <c r="F469" s="3" t="s">
        <v>26</v>
      </c>
      <c r="G469" s="5" t="n">
        <v>0</v>
      </c>
      <c r="H469" s="5" t="n">
        <f aca="false">ROUND(ABS(G469)-ABS(E469),2)</f>
        <v>0</v>
      </c>
      <c r="I469" s="3" t="s">
        <v>17</v>
      </c>
      <c r="J469" s="3" t="s">
        <v>18</v>
      </c>
      <c r="K469" s="3"/>
      <c r="L469" s="3" t="s">
        <v>444</v>
      </c>
      <c r="M469" s="3" t="s">
        <v>445</v>
      </c>
      <c r="N469" s="3" t="s">
        <v>27</v>
      </c>
    </row>
    <row r="470" customFormat="false" ht="23.25" hidden="false" customHeight="true" outlineLevel="0" collapsed="false">
      <c r="A470" s="3" t="s">
        <v>443</v>
      </c>
      <c r="B470" s="3" t="s">
        <v>443</v>
      </c>
      <c r="C470" s="6" t="s">
        <v>28</v>
      </c>
      <c r="D470" s="3" t="s">
        <v>29</v>
      </c>
      <c r="E470" s="5" t="n">
        <v>3348.22</v>
      </c>
      <c r="F470" s="3" t="s">
        <v>29</v>
      </c>
      <c r="G470" s="5" t="n">
        <v>-282.05</v>
      </c>
      <c r="H470" s="5" t="n">
        <f aca="false">ROUND(ABS(G470)-ABS(E470),2)</f>
        <v>-3066.17</v>
      </c>
      <c r="I470" s="3" t="s">
        <v>17</v>
      </c>
      <c r="J470" s="3" t="s">
        <v>18</v>
      </c>
      <c r="K470" s="3"/>
      <c r="L470" s="3" t="s">
        <v>444</v>
      </c>
      <c r="M470" s="3" t="s">
        <v>445</v>
      </c>
      <c r="N470" s="3" t="s">
        <v>30</v>
      </c>
    </row>
    <row r="471" customFormat="false" ht="34.5" hidden="false" customHeight="true" outlineLevel="0" collapsed="false">
      <c r="A471" s="3" t="s">
        <v>443</v>
      </c>
      <c r="B471" s="3" t="s">
        <v>443</v>
      </c>
      <c r="C471" s="4" t="s">
        <v>15</v>
      </c>
      <c r="D471" s="3" t="s">
        <v>16</v>
      </c>
      <c r="E471" s="5" t="n">
        <v>4800</v>
      </c>
      <c r="F471" s="3" t="s">
        <v>16</v>
      </c>
      <c r="G471" s="5" t="n">
        <v>4800</v>
      </c>
      <c r="H471" s="5" t="n">
        <f aca="false">ROUND(ABS(G471)-ABS(E471),2)</f>
        <v>0</v>
      </c>
      <c r="I471" s="3" t="s">
        <v>446</v>
      </c>
      <c r="J471" s="3"/>
      <c r="K471" s="3"/>
      <c r="L471" s="3" t="s">
        <v>447</v>
      </c>
      <c r="M471" s="3" t="s">
        <v>448</v>
      </c>
      <c r="N471" s="3"/>
    </row>
    <row r="472" customFormat="false" ht="34.5" hidden="false" customHeight="true" outlineLevel="0" collapsed="false">
      <c r="A472" s="3" t="s">
        <v>443</v>
      </c>
      <c r="B472" s="3" t="s">
        <v>443</v>
      </c>
      <c r="C472" s="4" t="s">
        <v>15</v>
      </c>
      <c r="D472" s="3" t="s">
        <v>21</v>
      </c>
      <c r="E472" s="5" t="n">
        <v>819.05</v>
      </c>
      <c r="F472" s="3" t="s">
        <v>21</v>
      </c>
      <c r="G472" s="5" t="n">
        <v>819.05</v>
      </c>
      <c r="H472" s="5" t="n">
        <f aca="false">ROUND(ABS(G472)-ABS(E472),2)</f>
        <v>0</v>
      </c>
      <c r="I472" s="3" t="s">
        <v>446</v>
      </c>
      <c r="J472" s="3"/>
      <c r="K472" s="3"/>
      <c r="L472" s="3" t="s">
        <v>447</v>
      </c>
      <c r="M472" s="3" t="s">
        <v>449</v>
      </c>
      <c r="N472" s="3"/>
    </row>
    <row r="473" customFormat="false" ht="34.5" hidden="false" customHeight="true" outlineLevel="0" collapsed="false">
      <c r="A473" s="3" t="s">
        <v>443</v>
      </c>
      <c r="B473" s="3" t="s">
        <v>443</v>
      </c>
      <c r="C473" s="4" t="s">
        <v>15</v>
      </c>
      <c r="D473" s="3" t="s">
        <v>24</v>
      </c>
      <c r="E473" s="5" t="n">
        <v>2019.05</v>
      </c>
      <c r="F473" s="3" t="s">
        <v>24</v>
      </c>
      <c r="G473" s="5" t="n">
        <v>2019.05</v>
      </c>
      <c r="H473" s="5" t="n">
        <f aca="false">ROUND(ABS(G473)-ABS(E473),2)</f>
        <v>0</v>
      </c>
      <c r="I473" s="3" t="s">
        <v>446</v>
      </c>
      <c r="J473" s="3"/>
      <c r="K473" s="3"/>
      <c r="L473" s="3" t="s">
        <v>447</v>
      </c>
      <c r="M473" s="3" t="s">
        <v>450</v>
      </c>
      <c r="N473" s="3"/>
    </row>
    <row r="474" customFormat="false" ht="34.5" hidden="false" customHeight="true" outlineLevel="0" collapsed="false">
      <c r="A474" s="3" t="s">
        <v>443</v>
      </c>
      <c r="B474" s="3" t="s">
        <v>443</v>
      </c>
      <c r="C474" s="6" t="s">
        <v>28</v>
      </c>
      <c r="D474" s="3" t="s">
        <v>25</v>
      </c>
      <c r="E474" s="5" t="n">
        <v>58.27</v>
      </c>
      <c r="F474" s="3" t="s">
        <v>25</v>
      </c>
      <c r="G474" s="5" t="n">
        <v>111.48</v>
      </c>
      <c r="H474" s="5" t="n">
        <f aca="false">ROUND(ABS(G474)-ABS(E474),2)</f>
        <v>53.21</v>
      </c>
      <c r="I474" s="3" t="s">
        <v>446</v>
      </c>
      <c r="J474" s="3"/>
      <c r="K474" s="3"/>
      <c r="L474" s="3" t="s">
        <v>451</v>
      </c>
      <c r="M474" s="3" t="s">
        <v>452</v>
      </c>
      <c r="N474" s="3"/>
    </row>
    <row r="475" customFormat="false" ht="23.25" hidden="false" customHeight="true" outlineLevel="0" collapsed="false">
      <c r="A475" s="3" t="s">
        <v>443</v>
      </c>
      <c r="B475" s="3" t="s">
        <v>443</v>
      </c>
      <c r="C475" s="7" t="s">
        <v>37</v>
      </c>
      <c r="D475" s="3" t="s">
        <v>29</v>
      </c>
      <c r="E475" s="5" t="s">
        <v>37</v>
      </c>
      <c r="F475" s="3" t="s">
        <v>29</v>
      </c>
      <c r="G475" s="5" t="s">
        <v>37</v>
      </c>
      <c r="H475" s="5" t="s">
        <v>37</v>
      </c>
      <c r="I475" s="3" t="s">
        <v>446</v>
      </c>
      <c r="J475" s="3" t="s">
        <v>38</v>
      </c>
      <c r="K475" s="3"/>
      <c r="L475" s="3" t="s">
        <v>39</v>
      </c>
      <c r="M475" s="3"/>
      <c r="N475" s="3" t="s">
        <v>40</v>
      </c>
    </row>
    <row r="476" customFormat="false" ht="34.5" hidden="false" customHeight="true" outlineLevel="0" collapsed="false">
      <c r="A476" s="3" t="s">
        <v>443</v>
      </c>
      <c r="B476" s="3" t="s">
        <v>443</v>
      </c>
      <c r="C476" s="4" t="s">
        <v>15</v>
      </c>
      <c r="D476" s="3" t="s">
        <v>16</v>
      </c>
      <c r="E476" s="5" t="n">
        <v>4400</v>
      </c>
      <c r="F476" s="3" t="s">
        <v>16</v>
      </c>
      <c r="G476" s="5" t="n">
        <v>4400</v>
      </c>
      <c r="H476" s="5" t="n">
        <f aca="false">ROUND(ABS(G476)-ABS(E476),2)</f>
        <v>0</v>
      </c>
      <c r="I476" s="3" t="s">
        <v>453</v>
      </c>
      <c r="J476" s="3"/>
      <c r="K476" s="3"/>
      <c r="L476" s="3" t="s">
        <v>447</v>
      </c>
      <c r="M476" s="3" t="s">
        <v>454</v>
      </c>
      <c r="N476" s="3"/>
    </row>
    <row r="477" customFormat="false" ht="34.5" hidden="false" customHeight="true" outlineLevel="0" collapsed="false">
      <c r="A477" s="3" t="s">
        <v>443</v>
      </c>
      <c r="B477" s="3" t="s">
        <v>443</v>
      </c>
      <c r="C477" s="4" t="s">
        <v>15</v>
      </c>
      <c r="D477" s="3" t="s">
        <v>21</v>
      </c>
      <c r="E477" s="5" t="n">
        <v>870.98</v>
      </c>
      <c r="F477" s="3" t="s">
        <v>21</v>
      </c>
      <c r="G477" s="5" t="n">
        <v>870.98</v>
      </c>
      <c r="H477" s="5" t="n">
        <f aca="false">ROUND(ABS(G477)-ABS(E477),2)</f>
        <v>0</v>
      </c>
      <c r="I477" s="3" t="s">
        <v>453</v>
      </c>
      <c r="J477" s="3"/>
      <c r="K477" s="3"/>
      <c r="L477" s="3" t="s">
        <v>447</v>
      </c>
      <c r="M477" s="3" t="s">
        <v>455</v>
      </c>
      <c r="N477" s="3"/>
    </row>
    <row r="478" customFormat="false" ht="34.5" hidden="false" customHeight="true" outlineLevel="0" collapsed="false">
      <c r="A478" s="3" t="s">
        <v>443</v>
      </c>
      <c r="B478" s="3" t="s">
        <v>443</v>
      </c>
      <c r="C478" s="4" t="s">
        <v>15</v>
      </c>
      <c r="D478" s="3" t="s">
        <v>24</v>
      </c>
      <c r="E478" s="5" t="n">
        <v>1821.22</v>
      </c>
      <c r="F478" s="3" t="s">
        <v>24</v>
      </c>
      <c r="G478" s="5" t="n">
        <v>1821.22</v>
      </c>
      <c r="H478" s="5" t="n">
        <f aca="false">ROUND(ABS(G478)-ABS(E478),2)</f>
        <v>0</v>
      </c>
      <c r="I478" s="3" t="s">
        <v>453</v>
      </c>
      <c r="J478" s="3"/>
      <c r="K478" s="3"/>
      <c r="L478" s="3" t="s">
        <v>447</v>
      </c>
      <c r="M478" s="3" t="s">
        <v>456</v>
      </c>
      <c r="N478" s="3"/>
    </row>
    <row r="479" customFormat="false" ht="34.5" hidden="false" customHeight="true" outlineLevel="0" collapsed="false">
      <c r="A479" s="3" t="s">
        <v>443</v>
      </c>
      <c r="B479" s="3" t="s">
        <v>443</v>
      </c>
      <c r="C479" s="6" t="s">
        <v>28</v>
      </c>
      <c r="D479" s="3" t="s">
        <v>25</v>
      </c>
      <c r="E479" s="5" t="n">
        <v>53.21</v>
      </c>
      <c r="F479" s="3" t="s">
        <v>25</v>
      </c>
      <c r="G479" s="5" t="n">
        <v>0</v>
      </c>
      <c r="H479" s="5" t="n">
        <f aca="false">ROUND(ABS(G479)-ABS(E479),2)</f>
        <v>-53.21</v>
      </c>
      <c r="I479" s="3" t="s">
        <v>453</v>
      </c>
      <c r="J479" s="3" t="s">
        <v>45</v>
      </c>
      <c r="K479" s="3"/>
      <c r="L479" s="3" t="s">
        <v>451</v>
      </c>
      <c r="M479" s="3"/>
      <c r="N479" s="3"/>
    </row>
    <row r="480" customFormat="false" ht="23.25" hidden="false" customHeight="true" outlineLevel="0" collapsed="false">
      <c r="A480" s="3" t="s">
        <v>443</v>
      </c>
      <c r="B480" s="3" t="s">
        <v>443</v>
      </c>
      <c r="C480" s="7" t="s">
        <v>37</v>
      </c>
      <c r="D480" s="3" t="s">
        <v>29</v>
      </c>
      <c r="E480" s="5" t="s">
        <v>37</v>
      </c>
      <c r="F480" s="3" t="s">
        <v>29</v>
      </c>
      <c r="G480" s="5" t="s">
        <v>37</v>
      </c>
      <c r="H480" s="5" t="s">
        <v>37</v>
      </c>
      <c r="I480" s="3" t="s">
        <v>453</v>
      </c>
      <c r="J480" s="3" t="s">
        <v>38</v>
      </c>
      <c r="K480" s="3"/>
      <c r="L480" s="3" t="s">
        <v>39</v>
      </c>
      <c r="M480" s="3"/>
      <c r="N480" s="3" t="s">
        <v>40</v>
      </c>
    </row>
    <row r="481" customFormat="false" ht="75.75" hidden="false" customHeight="true" outlineLevel="0" collapsed="false">
      <c r="A481" s="8" t="s">
        <v>443</v>
      </c>
      <c r="B481" s="8" t="s">
        <v>443</v>
      </c>
      <c r="C481" s="8" t="s">
        <v>28</v>
      </c>
      <c r="D481" s="8" t="s">
        <v>47</v>
      </c>
      <c r="E481" s="8" t="s">
        <v>457</v>
      </c>
      <c r="F481" s="8" t="s">
        <v>47</v>
      </c>
      <c r="G481" s="8" t="s">
        <v>18</v>
      </c>
      <c r="H481" s="8"/>
      <c r="I481" s="8" t="s">
        <v>49</v>
      </c>
      <c r="J481" s="8" t="s">
        <v>18</v>
      </c>
      <c r="K481" s="8"/>
      <c r="L481" s="8" t="s">
        <v>444</v>
      </c>
      <c r="M481" s="8" t="s">
        <v>445</v>
      </c>
      <c r="N481" s="8" t="s">
        <v>50</v>
      </c>
    </row>
    <row r="482" customFormat="false" ht="23.25" hidden="false" customHeight="true" outlineLevel="0" collapsed="false">
      <c r="A482" s="3" t="s">
        <v>458</v>
      </c>
      <c r="B482" s="3" t="s">
        <v>458</v>
      </c>
      <c r="C482" s="4" t="s">
        <v>15</v>
      </c>
      <c r="D482" s="3" t="s">
        <v>16</v>
      </c>
      <c r="E482" s="5" t="n">
        <v>9600</v>
      </c>
      <c r="F482" s="3" t="s">
        <v>16</v>
      </c>
      <c r="G482" s="5" t="n">
        <v>9600</v>
      </c>
      <c r="H482" s="5" t="n">
        <f aca="false">ROUND(ABS(G482)-ABS(E482),2)</f>
        <v>0</v>
      </c>
      <c r="I482" s="3" t="s">
        <v>17</v>
      </c>
      <c r="J482" s="3" t="s">
        <v>18</v>
      </c>
      <c r="K482" s="3"/>
      <c r="L482" s="3" t="s">
        <v>459</v>
      </c>
      <c r="M482" s="3" t="s">
        <v>460</v>
      </c>
      <c r="N482" s="3"/>
    </row>
    <row r="483" customFormat="false" ht="23.25" hidden="false" customHeight="true" outlineLevel="0" collapsed="false">
      <c r="A483" s="3" t="s">
        <v>458</v>
      </c>
      <c r="B483" s="3" t="s">
        <v>458</v>
      </c>
      <c r="C483" s="4" t="s">
        <v>15</v>
      </c>
      <c r="D483" s="3" t="s">
        <v>21</v>
      </c>
      <c r="E483" s="5" t="n">
        <v>1738.05</v>
      </c>
      <c r="F483" s="3" t="s">
        <v>21</v>
      </c>
      <c r="G483" s="5" t="n">
        <v>1738.05</v>
      </c>
      <c r="H483" s="5" t="n">
        <f aca="false">ROUND(ABS(G483)-ABS(E483),2)</f>
        <v>0</v>
      </c>
      <c r="I483" s="3" t="s">
        <v>17</v>
      </c>
      <c r="J483" s="3" t="s">
        <v>18</v>
      </c>
      <c r="K483" s="3"/>
      <c r="L483" s="3" t="s">
        <v>459</v>
      </c>
      <c r="M483" s="3" t="s">
        <v>460</v>
      </c>
      <c r="N483" s="3"/>
    </row>
    <row r="484" customFormat="false" ht="23.25" hidden="false" customHeight="true" outlineLevel="0" collapsed="false">
      <c r="A484" s="3" t="s">
        <v>458</v>
      </c>
      <c r="B484" s="3" t="s">
        <v>458</v>
      </c>
      <c r="C484" s="4" t="s">
        <v>15</v>
      </c>
      <c r="D484" s="3" t="s">
        <v>22</v>
      </c>
      <c r="E484" s="5" t="n">
        <v>0</v>
      </c>
      <c r="F484" s="3" t="s">
        <v>22</v>
      </c>
      <c r="G484" s="5" t="n">
        <v>0</v>
      </c>
      <c r="H484" s="5" t="n">
        <f aca="false">ROUND(ABS(G484)-ABS(E484),2)</f>
        <v>0</v>
      </c>
      <c r="I484" s="3" t="s">
        <v>17</v>
      </c>
      <c r="J484" s="3" t="s">
        <v>18</v>
      </c>
      <c r="K484" s="3"/>
      <c r="L484" s="3" t="s">
        <v>459</v>
      </c>
      <c r="M484" s="3" t="s">
        <v>460</v>
      </c>
      <c r="N484" s="3" t="s">
        <v>23</v>
      </c>
    </row>
    <row r="485" customFormat="false" ht="23.25" hidden="false" customHeight="true" outlineLevel="0" collapsed="false">
      <c r="A485" s="3" t="s">
        <v>458</v>
      </c>
      <c r="B485" s="3" t="s">
        <v>458</v>
      </c>
      <c r="C485" s="4" t="s">
        <v>15</v>
      </c>
      <c r="D485" s="3" t="s">
        <v>24</v>
      </c>
      <c r="E485" s="5" t="n">
        <v>3792.7</v>
      </c>
      <c r="F485" s="3" t="s">
        <v>24</v>
      </c>
      <c r="G485" s="5" t="n">
        <v>3792.7</v>
      </c>
      <c r="H485" s="5" t="n">
        <f aca="false">ROUND(ABS(G485)-ABS(E485),2)</f>
        <v>0</v>
      </c>
      <c r="I485" s="3" t="s">
        <v>17</v>
      </c>
      <c r="J485" s="3" t="s">
        <v>18</v>
      </c>
      <c r="K485" s="3"/>
      <c r="L485" s="3" t="s">
        <v>459</v>
      </c>
      <c r="M485" s="3" t="s">
        <v>460</v>
      </c>
      <c r="N485" s="3"/>
    </row>
    <row r="486" customFormat="false" ht="23.25" hidden="false" customHeight="true" outlineLevel="0" collapsed="false">
      <c r="A486" s="3" t="s">
        <v>458</v>
      </c>
      <c r="B486" s="3" t="s">
        <v>458</v>
      </c>
      <c r="C486" s="4" t="s">
        <v>15</v>
      </c>
      <c r="D486" s="3" t="s">
        <v>25</v>
      </c>
      <c r="E486" s="5" t="n">
        <v>138.99</v>
      </c>
      <c r="F486" s="3" t="s">
        <v>25</v>
      </c>
      <c r="G486" s="5" t="n">
        <v>138.99</v>
      </c>
      <c r="H486" s="5" t="n">
        <f aca="false">ROUND(ABS(G486)-ABS(E486),2)</f>
        <v>0</v>
      </c>
      <c r="I486" s="3" t="s">
        <v>17</v>
      </c>
      <c r="J486" s="3" t="s">
        <v>18</v>
      </c>
      <c r="K486" s="3"/>
      <c r="L486" s="3" t="s">
        <v>459</v>
      </c>
      <c r="M486" s="3" t="s">
        <v>460</v>
      </c>
      <c r="N486" s="3"/>
    </row>
    <row r="487" customFormat="false" ht="23.25" hidden="false" customHeight="true" outlineLevel="0" collapsed="false">
      <c r="A487" s="3" t="s">
        <v>458</v>
      </c>
      <c r="B487" s="3" t="s">
        <v>458</v>
      </c>
      <c r="C487" s="4" t="s">
        <v>15</v>
      </c>
      <c r="D487" s="3" t="s">
        <v>26</v>
      </c>
      <c r="E487" s="5" t="n">
        <v>0</v>
      </c>
      <c r="F487" s="3" t="s">
        <v>26</v>
      </c>
      <c r="G487" s="5" t="n">
        <v>0</v>
      </c>
      <c r="H487" s="5" t="n">
        <f aca="false">ROUND(ABS(G487)-ABS(E487),2)</f>
        <v>0</v>
      </c>
      <c r="I487" s="3" t="s">
        <v>17</v>
      </c>
      <c r="J487" s="3" t="s">
        <v>18</v>
      </c>
      <c r="K487" s="3"/>
      <c r="L487" s="3" t="s">
        <v>459</v>
      </c>
      <c r="M487" s="3" t="s">
        <v>460</v>
      </c>
      <c r="N487" s="3" t="s">
        <v>27</v>
      </c>
    </row>
    <row r="488" customFormat="false" ht="23.25" hidden="false" customHeight="true" outlineLevel="0" collapsed="false">
      <c r="A488" s="3" t="s">
        <v>458</v>
      </c>
      <c r="B488" s="3" t="s">
        <v>458</v>
      </c>
      <c r="C488" s="6" t="s">
        <v>28</v>
      </c>
      <c r="D488" s="3" t="s">
        <v>29</v>
      </c>
      <c r="E488" s="5" t="n">
        <v>3642.26</v>
      </c>
      <c r="F488" s="3" t="s">
        <v>29</v>
      </c>
      <c r="G488" s="5" t="n">
        <v>137.56</v>
      </c>
      <c r="H488" s="5" t="n">
        <f aca="false">ROUND(ABS(G488)-ABS(E488),2)</f>
        <v>-3504.7</v>
      </c>
      <c r="I488" s="3" t="s">
        <v>17</v>
      </c>
      <c r="J488" s="3" t="s">
        <v>18</v>
      </c>
      <c r="K488" s="3"/>
      <c r="L488" s="3" t="s">
        <v>459</v>
      </c>
      <c r="M488" s="3" t="s">
        <v>460</v>
      </c>
      <c r="N488" s="3" t="s">
        <v>30</v>
      </c>
    </row>
    <row r="489" customFormat="false" ht="34.5" hidden="false" customHeight="true" outlineLevel="0" collapsed="false">
      <c r="A489" s="3" t="s">
        <v>458</v>
      </c>
      <c r="B489" s="3" t="s">
        <v>458</v>
      </c>
      <c r="C489" s="4" t="s">
        <v>15</v>
      </c>
      <c r="D489" s="3" t="s">
        <v>16</v>
      </c>
      <c r="E489" s="5" t="n">
        <v>4800</v>
      </c>
      <c r="F489" s="3" t="s">
        <v>16</v>
      </c>
      <c r="G489" s="5" t="n">
        <v>4800</v>
      </c>
      <c r="H489" s="5" t="n">
        <f aca="false">ROUND(ABS(G489)-ABS(E489),2)</f>
        <v>0</v>
      </c>
      <c r="I489" s="3" t="s">
        <v>461</v>
      </c>
      <c r="J489" s="3"/>
      <c r="K489" s="3"/>
      <c r="L489" s="3" t="s">
        <v>462</v>
      </c>
      <c r="M489" s="3" t="s">
        <v>463</v>
      </c>
      <c r="N489" s="3"/>
    </row>
    <row r="490" customFormat="false" ht="34.5" hidden="false" customHeight="true" outlineLevel="0" collapsed="false">
      <c r="A490" s="3" t="s">
        <v>458</v>
      </c>
      <c r="B490" s="3" t="s">
        <v>458</v>
      </c>
      <c r="C490" s="4" t="s">
        <v>15</v>
      </c>
      <c r="D490" s="3" t="s">
        <v>21</v>
      </c>
      <c r="E490" s="5" t="n">
        <v>819.05</v>
      </c>
      <c r="F490" s="3" t="s">
        <v>21</v>
      </c>
      <c r="G490" s="5" t="n">
        <v>819.05</v>
      </c>
      <c r="H490" s="5" t="n">
        <f aca="false">ROUND(ABS(G490)-ABS(E490),2)</f>
        <v>0</v>
      </c>
      <c r="I490" s="3" t="s">
        <v>461</v>
      </c>
      <c r="J490" s="3"/>
      <c r="K490" s="3"/>
      <c r="L490" s="3" t="s">
        <v>462</v>
      </c>
      <c r="M490" s="3" t="s">
        <v>464</v>
      </c>
      <c r="N490" s="3"/>
    </row>
    <row r="491" customFormat="false" ht="34.5" hidden="false" customHeight="true" outlineLevel="0" collapsed="false">
      <c r="A491" s="3" t="s">
        <v>458</v>
      </c>
      <c r="B491" s="3" t="s">
        <v>458</v>
      </c>
      <c r="C491" s="4" t="s">
        <v>15</v>
      </c>
      <c r="D491" s="3" t="s">
        <v>24</v>
      </c>
      <c r="E491" s="5" t="n">
        <v>2261.6</v>
      </c>
      <c r="F491" s="3" t="s">
        <v>24</v>
      </c>
      <c r="G491" s="5" t="n">
        <v>2261.6</v>
      </c>
      <c r="H491" s="5" t="n">
        <f aca="false">ROUND(ABS(G491)-ABS(E491),2)</f>
        <v>0</v>
      </c>
      <c r="I491" s="3" t="s">
        <v>461</v>
      </c>
      <c r="J491" s="3"/>
      <c r="K491" s="3"/>
      <c r="L491" s="3" t="s">
        <v>462</v>
      </c>
      <c r="M491" s="3" t="s">
        <v>465</v>
      </c>
      <c r="N491" s="3"/>
    </row>
    <row r="492" customFormat="false" ht="34.5" hidden="false" customHeight="true" outlineLevel="0" collapsed="false">
      <c r="A492" s="3" t="s">
        <v>458</v>
      </c>
      <c r="B492" s="3" t="s">
        <v>458</v>
      </c>
      <c r="C492" s="6" t="s">
        <v>28</v>
      </c>
      <c r="D492" s="3" t="s">
        <v>25</v>
      </c>
      <c r="E492" s="5" t="n">
        <v>83.23</v>
      </c>
      <c r="F492" s="3" t="s">
        <v>25</v>
      </c>
      <c r="G492" s="5" t="n">
        <v>138.99</v>
      </c>
      <c r="H492" s="5" t="n">
        <f aca="false">ROUND(ABS(G492)-ABS(E492),2)</f>
        <v>55.76</v>
      </c>
      <c r="I492" s="3" t="s">
        <v>461</v>
      </c>
      <c r="J492" s="3"/>
      <c r="K492" s="3"/>
      <c r="L492" s="3" t="s">
        <v>466</v>
      </c>
      <c r="M492" s="3" t="s">
        <v>467</v>
      </c>
      <c r="N492" s="3"/>
    </row>
    <row r="493" customFormat="false" ht="23.25" hidden="false" customHeight="true" outlineLevel="0" collapsed="false">
      <c r="A493" s="3" t="s">
        <v>458</v>
      </c>
      <c r="B493" s="3" t="s">
        <v>458</v>
      </c>
      <c r="C493" s="7" t="s">
        <v>37</v>
      </c>
      <c r="D493" s="3" t="s">
        <v>29</v>
      </c>
      <c r="E493" s="5" t="s">
        <v>37</v>
      </c>
      <c r="F493" s="3" t="s">
        <v>29</v>
      </c>
      <c r="G493" s="5" t="s">
        <v>37</v>
      </c>
      <c r="H493" s="5" t="s">
        <v>37</v>
      </c>
      <c r="I493" s="3" t="s">
        <v>461</v>
      </c>
      <c r="J493" s="3" t="s">
        <v>38</v>
      </c>
      <c r="K493" s="3"/>
      <c r="L493" s="3" t="s">
        <v>39</v>
      </c>
      <c r="M493" s="3"/>
      <c r="N493" s="3" t="s">
        <v>40</v>
      </c>
    </row>
    <row r="494" customFormat="false" ht="34.5" hidden="false" customHeight="true" outlineLevel="0" collapsed="false">
      <c r="A494" s="3" t="s">
        <v>458</v>
      </c>
      <c r="B494" s="3" t="s">
        <v>458</v>
      </c>
      <c r="C494" s="4" t="s">
        <v>15</v>
      </c>
      <c r="D494" s="3" t="s">
        <v>16</v>
      </c>
      <c r="E494" s="5" t="n">
        <v>3800</v>
      </c>
      <c r="F494" s="3" t="s">
        <v>16</v>
      </c>
      <c r="G494" s="5" t="n">
        <v>3800</v>
      </c>
      <c r="H494" s="5" t="n">
        <f aca="false">ROUND(ABS(G494)-ABS(E494),2)</f>
        <v>0</v>
      </c>
      <c r="I494" s="3" t="s">
        <v>468</v>
      </c>
      <c r="J494" s="3"/>
      <c r="K494" s="3"/>
      <c r="L494" s="3" t="s">
        <v>462</v>
      </c>
      <c r="M494" s="3" t="s">
        <v>469</v>
      </c>
      <c r="N494" s="3"/>
    </row>
    <row r="495" customFormat="false" ht="34.5" hidden="false" customHeight="true" outlineLevel="0" collapsed="false">
      <c r="A495" s="3" t="s">
        <v>458</v>
      </c>
      <c r="B495" s="3" t="s">
        <v>458</v>
      </c>
      <c r="C495" s="4" t="s">
        <v>15</v>
      </c>
      <c r="D495" s="3" t="s">
        <v>21</v>
      </c>
      <c r="E495" s="5" t="n">
        <v>709.61</v>
      </c>
      <c r="F495" s="3" t="s">
        <v>21</v>
      </c>
      <c r="G495" s="5" t="n">
        <v>709.61</v>
      </c>
      <c r="H495" s="5" t="n">
        <f aca="false">ROUND(ABS(G495)-ABS(E495),2)</f>
        <v>0</v>
      </c>
      <c r="I495" s="3" t="s">
        <v>468</v>
      </c>
      <c r="J495" s="3"/>
      <c r="K495" s="3"/>
      <c r="L495" s="3" t="s">
        <v>462</v>
      </c>
      <c r="M495" s="3" t="s">
        <v>470</v>
      </c>
      <c r="N495" s="3"/>
    </row>
    <row r="496" customFormat="false" ht="34.5" hidden="false" customHeight="true" outlineLevel="0" collapsed="false">
      <c r="A496" s="3" t="s">
        <v>458</v>
      </c>
      <c r="B496" s="3" t="s">
        <v>458</v>
      </c>
      <c r="C496" s="4" t="s">
        <v>15</v>
      </c>
      <c r="D496" s="3" t="s">
        <v>24</v>
      </c>
      <c r="E496" s="5" t="n">
        <v>1531.1</v>
      </c>
      <c r="F496" s="3" t="s">
        <v>24</v>
      </c>
      <c r="G496" s="5" t="n">
        <v>1531.1</v>
      </c>
      <c r="H496" s="5" t="n">
        <f aca="false">ROUND(ABS(G496)-ABS(E496),2)</f>
        <v>0</v>
      </c>
      <c r="I496" s="3" t="s">
        <v>468</v>
      </c>
      <c r="J496" s="3"/>
      <c r="K496" s="3"/>
      <c r="L496" s="3" t="s">
        <v>462</v>
      </c>
      <c r="M496" s="3" t="s">
        <v>471</v>
      </c>
      <c r="N496" s="3"/>
    </row>
    <row r="497" customFormat="false" ht="34.5" hidden="false" customHeight="true" outlineLevel="0" collapsed="false">
      <c r="A497" s="3" t="s">
        <v>458</v>
      </c>
      <c r="B497" s="3" t="s">
        <v>458</v>
      </c>
      <c r="C497" s="6" t="s">
        <v>28</v>
      </c>
      <c r="D497" s="3" t="s">
        <v>25</v>
      </c>
      <c r="E497" s="5" t="n">
        <v>55.76</v>
      </c>
      <c r="F497" s="3" t="s">
        <v>25</v>
      </c>
      <c r="G497" s="5" t="n">
        <v>0</v>
      </c>
      <c r="H497" s="5" t="n">
        <f aca="false">ROUND(ABS(G497)-ABS(E497),2)</f>
        <v>-55.76</v>
      </c>
      <c r="I497" s="3" t="s">
        <v>468</v>
      </c>
      <c r="J497" s="3" t="s">
        <v>45</v>
      </c>
      <c r="K497" s="3"/>
      <c r="L497" s="3" t="s">
        <v>466</v>
      </c>
      <c r="M497" s="3"/>
      <c r="N497" s="3"/>
    </row>
    <row r="498" customFormat="false" ht="23.25" hidden="false" customHeight="true" outlineLevel="0" collapsed="false">
      <c r="A498" s="3" t="s">
        <v>458</v>
      </c>
      <c r="B498" s="3" t="s">
        <v>458</v>
      </c>
      <c r="C498" s="7" t="s">
        <v>37</v>
      </c>
      <c r="D498" s="3" t="s">
        <v>29</v>
      </c>
      <c r="E498" s="5" t="s">
        <v>37</v>
      </c>
      <c r="F498" s="3" t="s">
        <v>29</v>
      </c>
      <c r="G498" s="5" t="s">
        <v>37</v>
      </c>
      <c r="H498" s="5" t="s">
        <v>37</v>
      </c>
      <c r="I498" s="3" t="s">
        <v>468</v>
      </c>
      <c r="J498" s="3" t="s">
        <v>38</v>
      </c>
      <c r="K498" s="3"/>
      <c r="L498" s="3" t="s">
        <v>39</v>
      </c>
      <c r="M498" s="3"/>
      <c r="N498" s="3" t="s">
        <v>40</v>
      </c>
    </row>
    <row r="499" customFormat="false" ht="34.5" hidden="false" customHeight="true" outlineLevel="0" collapsed="false">
      <c r="A499" s="3" t="s">
        <v>458</v>
      </c>
      <c r="B499" s="3" t="s">
        <v>458</v>
      </c>
      <c r="C499" s="4" t="s">
        <v>15</v>
      </c>
      <c r="D499" s="3" t="s">
        <v>16</v>
      </c>
      <c r="E499" s="5" t="n">
        <v>1000</v>
      </c>
      <c r="F499" s="3" t="s">
        <v>16</v>
      </c>
      <c r="G499" s="5" t="n">
        <v>1000</v>
      </c>
      <c r="H499" s="5" t="n">
        <f aca="false">ROUND(ABS(G499)-ABS(E499),2)</f>
        <v>0</v>
      </c>
      <c r="I499" s="3" t="s">
        <v>472</v>
      </c>
      <c r="J499" s="3"/>
      <c r="K499" s="3"/>
      <c r="L499" s="3" t="s">
        <v>462</v>
      </c>
      <c r="M499" s="3" t="s">
        <v>473</v>
      </c>
      <c r="N499" s="3"/>
    </row>
    <row r="500" customFormat="false" ht="34.5" hidden="false" customHeight="true" outlineLevel="0" collapsed="false">
      <c r="A500" s="3" t="s">
        <v>458</v>
      </c>
      <c r="B500" s="3" t="s">
        <v>458</v>
      </c>
      <c r="C500" s="4" t="s">
        <v>15</v>
      </c>
      <c r="D500" s="3" t="s">
        <v>21</v>
      </c>
      <c r="E500" s="5" t="n">
        <v>209.39</v>
      </c>
      <c r="F500" s="3" t="s">
        <v>21</v>
      </c>
      <c r="G500" s="5" t="n">
        <v>209.39</v>
      </c>
      <c r="H500" s="5" t="n">
        <f aca="false">ROUND(ABS(G500)-ABS(E500),2)</f>
        <v>0</v>
      </c>
      <c r="I500" s="3" t="s">
        <v>472</v>
      </c>
      <c r="J500" s="3"/>
      <c r="K500" s="3"/>
      <c r="L500" s="3" t="s">
        <v>462</v>
      </c>
      <c r="M500" s="3" t="s">
        <v>474</v>
      </c>
      <c r="N500" s="3"/>
    </row>
    <row r="501" customFormat="false" ht="23.25" hidden="false" customHeight="true" outlineLevel="0" collapsed="false">
      <c r="A501" s="3" t="s">
        <v>458</v>
      </c>
      <c r="B501" s="3" t="s">
        <v>458</v>
      </c>
      <c r="C501" s="7" t="s">
        <v>37</v>
      </c>
      <c r="D501" s="3" t="s">
        <v>29</v>
      </c>
      <c r="E501" s="5" t="s">
        <v>37</v>
      </c>
      <c r="F501" s="3" t="s">
        <v>29</v>
      </c>
      <c r="G501" s="5" t="s">
        <v>37</v>
      </c>
      <c r="H501" s="5" t="s">
        <v>37</v>
      </c>
      <c r="I501" s="3" t="s">
        <v>472</v>
      </c>
      <c r="J501" s="3" t="s">
        <v>38</v>
      </c>
      <c r="K501" s="3"/>
      <c r="L501" s="3" t="s">
        <v>39</v>
      </c>
      <c r="M501" s="3"/>
      <c r="N501" s="3" t="s">
        <v>40</v>
      </c>
    </row>
    <row r="502" customFormat="false" ht="75.75" hidden="false" customHeight="true" outlineLevel="0" collapsed="false">
      <c r="A502" s="8" t="s">
        <v>458</v>
      </c>
      <c r="B502" s="8" t="s">
        <v>458</v>
      </c>
      <c r="C502" s="8" t="s">
        <v>28</v>
      </c>
      <c r="D502" s="8" t="s">
        <v>47</v>
      </c>
      <c r="E502" s="8" t="s">
        <v>475</v>
      </c>
      <c r="F502" s="8" t="s">
        <v>47</v>
      </c>
      <c r="G502" s="8" t="s">
        <v>18</v>
      </c>
      <c r="H502" s="8"/>
      <c r="I502" s="8" t="s">
        <v>49</v>
      </c>
      <c r="J502" s="8" t="s">
        <v>18</v>
      </c>
      <c r="K502" s="8"/>
      <c r="L502" s="8" t="s">
        <v>459</v>
      </c>
      <c r="M502" s="8" t="s">
        <v>460</v>
      </c>
      <c r="N502" s="8" t="s">
        <v>50</v>
      </c>
    </row>
    <row r="503" customFormat="false" ht="23.25" hidden="false" customHeight="true" outlineLevel="0" collapsed="false">
      <c r="A503" s="3" t="s">
        <v>476</v>
      </c>
      <c r="B503" s="3" t="s">
        <v>476</v>
      </c>
      <c r="C503" s="4" t="s">
        <v>15</v>
      </c>
      <c r="D503" s="3" t="s">
        <v>16</v>
      </c>
      <c r="E503" s="5" t="n">
        <v>5100</v>
      </c>
      <c r="F503" s="3" t="s">
        <v>16</v>
      </c>
      <c r="G503" s="5" t="n">
        <v>5100</v>
      </c>
      <c r="H503" s="5" t="n">
        <f aca="false">ROUND(ABS(G503)-ABS(E503),2)</f>
        <v>0</v>
      </c>
      <c r="I503" s="3" t="s">
        <v>17</v>
      </c>
      <c r="J503" s="3" t="s">
        <v>18</v>
      </c>
      <c r="K503" s="3"/>
      <c r="L503" s="3" t="s">
        <v>477</v>
      </c>
      <c r="M503" s="3" t="s">
        <v>478</v>
      </c>
      <c r="N503" s="3"/>
    </row>
    <row r="504" customFormat="false" ht="23.25" hidden="false" customHeight="true" outlineLevel="0" collapsed="false">
      <c r="A504" s="3" t="s">
        <v>476</v>
      </c>
      <c r="B504" s="3" t="s">
        <v>476</v>
      </c>
      <c r="C504" s="4" t="s">
        <v>15</v>
      </c>
      <c r="D504" s="3" t="s">
        <v>21</v>
      </c>
      <c r="E504" s="5" t="n">
        <v>1486.65</v>
      </c>
      <c r="F504" s="3" t="s">
        <v>21</v>
      </c>
      <c r="G504" s="5" t="n">
        <v>1486.65</v>
      </c>
      <c r="H504" s="5" t="n">
        <f aca="false">ROUND(ABS(G504)-ABS(E504),2)</f>
        <v>0</v>
      </c>
      <c r="I504" s="3" t="s">
        <v>17</v>
      </c>
      <c r="J504" s="3" t="s">
        <v>18</v>
      </c>
      <c r="K504" s="3"/>
      <c r="L504" s="3" t="s">
        <v>477</v>
      </c>
      <c r="M504" s="3" t="s">
        <v>478</v>
      </c>
      <c r="N504" s="3"/>
    </row>
    <row r="505" customFormat="false" ht="23.25" hidden="false" customHeight="true" outlineLevel="0" collapsed="false">
      <c r="A505" s="3" t="s">
        <v>476</v>
      </c>
      <c r="B505" s="3" t="s">
        <v>476</v>
      </c>
      <c r="C505" s="4" t="s">
        <v>15</v>
      </c>
      <c r="D505" s="3" t="s">
        <v>22</v>
      </c>
      <c r="E505" s="5" t="n">
        <v>92.26</v>
      </c>
      <c r="F505" s="3" t="s">
        <v>22</v>
      </c>
      <c r="G505" s="5" t="n">
        <v>92.26</v>
      </c>
      <c r="H505" s="5" t="n">
        <f aca="false">ROUND(ABS(G505)-ABS(E505),2)</f>
        <v>0</v>
      </c>
      <c r="I505" s="3" t="s">
        <v>17</v>
      </c>
      <c r="J505" s="3" t="s">
        <v>18</v>
      </c>
      <c r="K505" s="3"/>
      <c r="L505" s="3" t="s">
        <v>477</v>
      </c>
      <c r="M505" s="3" t="s">
        <v>478</v>
      </c>
      <c r="N505" s="3" t="s">
        <v>23</v>
      </c>
    </row>
    <row r="506" customFormat="false" ht="23.25" hidden="false" customHeight="true" outlineLevel="0" collapsed="false">
      <c r="A506" s="3" t="s">
        <v>476</v>
      </c>
      <c r="B506" s="3" t="s">
        <v>476</v>
      </c>
      <c r="C506" s="4" t="s">
        <v>15</v>
      </c>
      <c r="D506" s="3" t="s">
        <v>24</v>
      </c>
      <c r="E506" s="5" t="n">
        <v>3942.23</v>
      </c>
      <c r="F506" s="3" t="s">
        <v>24</v>
      </c>
      <c r="G506" s="5" t="n">
        <v>3942.23</v>
      </c>
      <c r="H506" s="5" t="n">
        <f aca="false">ROUND(ABS(G506)-ABS(E506),2)</f>
        <v>0</v>
      </c>
      <c r="I506" s="3" t="s">
        <v>17</v>
      </c>
      <c r="J506" s="3" t="s">
        <v>18</v>
      </c>
      <c r="K506" s="3"/>
      <c r="L506" s="3" t="s">
        <v>477</v>
      </c>
      <c r="M506" s="3" t="s">
        <v>478</v>
      </c>
      <c r="N506" s="3"/>
    </row>
    <row r="507" customFormat="false" ht="23.25" hidden="false" customHeight="true" outlineLevel="0" collapsed="false">
      <c r="A507" s="3" t="s">
        <v>476</v>
      </c>
      <c r="B507" s="3" t="s">
        <v>476</v>
      </c>
      <c r="C507" s="4" t="s">
        <v>15</v>
      </c>
      <c r="D507" s="3" t="s">
        <v>25</v>
      </c>
      <c r="E507" s="5" t="n">
        <v>193.19</v>
      </c>
      <c r="F507" s="3" t="s">
        <v>25</v>
      </c>
      <c r="G507" s="5" t="n">
        <v>193.19</v>
      </c>
      <c r="H507" s="5" t="n">
        <f aca="false">ROUND(ABS(G507)-ABS(E507),2)</f>
        <v>0</v>
      </c>
      <c r="I507" s="3" t="s">
        <v>17</v>
      </c>
      <c r="J507" s="3" t="s">
        <v>18</v>
      </c>
      <c r="K507" s="3"/>
      <c r="L507" s="3" t="s">
        <v>477</v>
      </c>
      <c r="M507" s="3" t="s">
        <v>478</v>
      </c>
      <c r="N507" s="3"/>
    </row>
    <row r="508" customFormat="false" ht="23.25" hidden="false" customHeight="true" outlineLevel="0" collapsed="false">
      <c r="A508" s="3" t="s">
        <v>476</v>
      </c>
      <c r="B508" s="3" t="s">
        <v>476</v>
      </c>
      <c r="C508" s="4" t="s">
        <v>15</v>
      </c>
      <c r="D508" s="3" t="s">
        <v>26</v>
      </c>
      <c r="E508" s="5" t="n">
        <v>0</v>
      </c>
      <c r="F508" s="3" t="s">
        <v>26</v>
      </c>
      <c r="G508" s="5" t="n">
        <v>0</v>
      </c>
      <c r="H508" s="5" t="n">
        <f aca="false">ROUND(ABS(G508)-ABS(E508),2)</f>
        <v>0</v>
      </c>
      <c r="I508" s="3" t="s">
        <v>17</v>
      </c>
      <c r="J508" s="3" t="s">
        <v>18</v>
      </c>
      <c r="K508" s="3"/>
      <c r="L508" s="3" t="s">
        <v>477</v>
      </c>
      <c r="M508" s="3" t="s">
        <v>478</v>
      </c>
      <c r="N508" s="3" t="s">
        <v>27</v>
      </c>
    </row>
    <row r="509" customFormat="false" ht="23.25" hidden="false" customHeight="true" outlineLevel="0" collapsed="false">
      <c r="A509" s="3" t="s">
        <v>476</v>
      </c>
      <c r="B509" s="3" t="s">
        <v>476</v>
      </c>
      <c r="C509" s="6" t="s">
        <v>28</v>
      </c>
      <c r="D509" s="3" t="s">
        <v>29</v>
      </c>
      <c r="E509" s="5" t="n">
        <v>-572.07</v>
      </c>
      <c r="F509" s="3" t="s">
        <v>29</v>
      </c>
      <c r="G509" s="5" t="n">
        <v>-4707.49</v>
      </c>
      <c r="H509" s="5" t="n">
        <f aca="false">ROUND(ABS(G509)-ABS(E509),2)</f>
        <v>4135.42</v>
      </c>
      <c r="I509" s="3" t="s">
        <v>17</v>
      </c>
      <c r="J509" s="3" t="s">
        <v>18</v>
      </c>
      <c r="K509" s="3"/>
      <c r="L509" s="3" t="s">
        <v>477</v>
      </c>
      <c r="M509" s="3" t="s">
        <v>478</v>
      </c>
      <c r="N509" s="3" t="s">
        <v>30</v>
      </c>
    </row>
    <row r="510" customFormat="false" ht="34.5" hidden="false" customHeight="true" outlineLevel="0" collapsed="false">
      <c r="A510" s="3" t="s">
        <v>476</v>
      </c>
      <c r="B510" s="3" t="s">
        <v>476</v>
      </c>
      <c r="C510" s="4" t="s">
        <v>15</v>
      </c>
      <c r="D510" s="3" t="s">
        <v>16</v>
      </c>
      <c r="E510" s="5" t="n">
        <v>4000</v>
      </c>
      <c r="F510" s="3" t="s">
        <v>16</v>
      </c>
      <c r="G510" s="5" t="n">
        <v>4000</v>
      </c>
      <c r="H510" s="5" t="n">
        <f aca="false">ROUND(ABS(G510)-ABS(E510),2)</f>
        <v>0</v>
      </c>
      <c r="I510" s="3" t="s">
        <v>479</v>
      </c>
      <c r="J510" s="3"/>
      <c r="K510" s="3"/>
      <c r="L510" s="3" t="s">
        <v>480</v>
      </c>
      <c r="M510" s="3" t="s">
        <v>481</v>
      </c>
      <c r="N510" s="3"/>
    </row>
    <row r="511" customFormat="false" ht="34.5" hidden="false" customHeight="true" outlineLevel="0" collapsed="false">
      <c r="A511" s="3" t="s">
        <v>476</v>
      </c>
      <c r="B511" s="3" t="s">
        <v>476</v>
      </c>
      <c r="C511" s="4" t="s">
        <v>15</v>
      </c>
      <c r="D511" s="3" t="s">
        <v>21</v>
      </c>
      <c r="E511" s="5" t="n">
        <v>742.6</v>
      </c>
      <c r="F511" s="3" t="s">
        <v>21</v>
      </c>
      <c r="G511" s="5" t="n">
        <v>742.6</v>
      </c>
      <c r="H511" s="5" t="n">
        <f aca="false">ROUND(ABS(G511)-ABS(E511),2)</f>
        <v>0</v>
      </c>
      <c r="I511" s="3" t="s">
        <v>479</v>
      </c>
      <c r="J511" s="3"/>
      <c r="K511" s="3"/>
      <c r="L511" s="3" t="s">
        <v>480</v>
      </c>
      <c r="M511" s="3" t="s">
        <v>482</v>
      </c>
      <c r="N511" s="3"/>
    </row>
    <row r="512" customFormat="false" ht="34.5" hidden="false" customHeight="true" outlineLevel="0" collapsed="false">
      <c r="A512" s="3" t="s">
        <v>476</v>
      </c>
      <c r="B512" s="3" t="s">
        <v>476</v>
      </c>
      <c r="C512" s="4" t="s">
        <v>15</v>
      </c>
      <c r="D512" s="3" t="s">
        <v>22</v>
      </c>
      <c r="E512" s="5" t="n">
        <v>27.01</v>
      </c>
      <c r="F512" s="3" t="s">
        <v>22</v>
      </c>
      <c r="G512" s="5" t="n">
        <v>27.01</v>
      </c>
      <c r="H512" s="5" t="n">
        <f aca="false">ROUND(ABS(G512)-ABS(E512),2)</f>
        <v>0</v>
      </c>
      <c r="I512" s="3" t="s">
        <v>479</v>
      </c>
      <c r="J512" s="3"/>
      <c r="K512" s="3"/>
      <c r="L512" s="3" t="s">
        <v>483</v>
      </c>
      <c r="M512" s="3" t="s">
        <v>484</v>
      </c>
      <c r="N512" s="3"/>
    </row>
    <row r="513" customFormat="false" ht="34.5" hidden="false" customHeight="true" outlineLevel="0" collapsed="false">
      <c r="A513" s="3" t="s">
        <v>476</v>
      </c>
      <c r="B513" s="3" t="s">
        <v>476</v>
      </c>
      <c r="C513" s="4" t="s">
        <v>15</v>
      </c>
      <c r="D513" s="3" t="s">
        <v>24</v>
      </c>
      <c r="E513" s="5" t="n">
        <v>1880.51</v>
      </c>
      <c r="F513" s="3" t="s">
        <v>24</v>
      </c>
      <c r="G513" s="5" t="n">
        <v>1880.51</v>
      </c>
      <c r="H513" s="5" t="n">
        <f aca="false">ROUND(ABS(G513)-ABS(E513),2)</f>
        <v>0</v>
      </c>
      <c r="I513" s="3" t="s">
        <v>479</v>
      </c>
      <c r="J513" s="3"/>
      <c r="K513" s="3"/>
      <c r="L513" s="3" t="s">
        <v>480</v>
      </c>
      <c r="M513" s="3" t="s">
        <v>485</v>
      </c>
      <c r="N513" s="3"/>
    </row>
    <row r="514" customFormat="false" ht="57" hidden="false" customHeight="true" outlineLevel="0" collapsed="false">
      <c r="A514" s="3" t="s">
        <v>476</v>
      </c>
      <c r="B514" s="3" t="s">
        <v>476</v>
      </c>
      <c r="C514" s="7" t="s">
        <v>37</v>
      </c>
      <c r="D514" s="3" t="s">
        <v>25</v>
      </c>
      <c r="E514" s="5" t="n">
        <v>78.16</v>
      </c>
      <c r="F514" s="3" t="s">
        <v>25</v>
      </c>
      <c r="G514" s="5" t="n">
        <v>193.19</v>
      </c>
      <c r="H514" s="5" t="n">
        <f aca="false">ROUND(ABS(G514)-ABS(E514),2)</f>
        <v>115.03</v>
      </c>
      <c r="I514" s="3" t="s">
        <v>479</v>
      </c>
      <c r="J514" s="3"/>
      <c r="K514" s="3"/>
      <c r="L514" s="3" t="s">
        <v>486</v>
      </c>
      <c r="M514" s="3" t="s">
        <v>487</v>
      </c>
      <c r="N514" s="3" t="s">
        <v>62</v>
      </c>
    </row>
    <row r="515" customFormat="false" ht="23.25" hidden="false" customHeight="true" outlineLevel="0" collapsed="false">
      <c r="A515" s="3" t="s">
        <v>476</v>
      </c>
      <c r="B515" s="3" t="s">
        <v>476</v>
      </c>
      <c r="C515" s="7" t="s">
        <v>37</v>
      </c>
      <c r="D515" s="3" t="s">
        <v>29</v>
      </c>
      <c r="E515" s="5" t="s">
        <v>37</v>
      </c>
      <c r="F515" s="3" t="s">
        <v>29</v>
      </c>
      <c r="G515" s="5" t="s">
        <v>37</v>
      </c>
      <c r="H515" s="5" t="s">
        <v>37</v>
      </c>
      <c r="I515" s="3" t="s">
        <v>479</v>
      </c>
      <c r="J515" s="3" t="s">
        <v>38</v>
      </c>
      <c r="K515" s="3"/>
      <c r="L515" s="3" t="s">
        <v>39</v>
      </c>
      <c r="M515" s="3"/>
      <c r="N515" s="3" t="s">
        <v>40</v>
      </c>
    </row>
    <row r="516" customFormat="false" ht="34.5" hidden="false" customHeight="true" outlineLevel="0" collapsed="false">
      <c r="A516" s="3" t="s">
        <v>476</v>
      </c>
      <c r="B516" s="3" t="s">
        <v>476</v>
      </c>
      <c r="C516" s="4" t="s">
        <v>15</v>
      </c>
      <c r="D516" s="3" t="s">
        <v>16</v>
      </c>
      <c r="E516" s="5" t="n">
        <v>1100</v>
      </c>
      <c r="F516" s="3" t="s">
        <v>16</v>
      </c>
      <c r="G516" s="5" t="n">
        <v>1100</v>
      </c>
      <c r="H516" s="5" t="n">
        <f aca="false">ROUND(ABS(G516)-ABS(E516),2)</f>
        <v>0</v>
      </c>
      <c r="I516" s="3" t="s">
        <v>488</v>
      </c>
      <c r="J516" s="3"/>
      <c r="K516" s="3"/>
      <c r="L516" s="3" t="s">
        <v>480</v>
      </c>
      <c r="M516" s="3" t="s">
        <v>489</v>
      </c>
      <c r="N516" s="3"/>
    </row>
    <row r="517" customFormat="false" ht="34.5" hidden="false" customHeight="true" outlineLevel="0" collapsed="false">
      <c r="A517" s="3" t="s">
        <v>476</v>
      </c>
      <c r="B517" s="3" t="s">
        <v>476</v>
      </c>
      <c r="C517" s="4" t="s">
        <v>15</v>
      </c>
      <c r="D517" s="3" t="s">
        <v>21</v>
      </c>
      <c r="E517" s="5" t="n">
        <v>744.05</v>
      </c>
      <c r="F517" s="3" t="s">
        <v>21</v>
      </c>
      <c r="G517" s="5" t="n">
        <v>744.05</v>
      </c>
      <c r="H517" s="5" t="n">
        <f aca="false">ROUND(ABS(G517)-ABS(E517),2)</f>
        <v>0</v>
      </c>
      <c r="I517" s="3" t="s">
        <v>488</v>
      </c>
      <c r="J517" s="3"/>
      <c r="K517" s="3"/>
      <c r="L517" s="3" t="s">
        <v>480</v>
      </c>
      <c r="M517" s="3" t="s">
        <v>490</v>
      </c>
      <c r="N517" s="3"/>
    </row>
    <row r="518" customFormat="false" ht="34.5" hidden="false" customHeight="true" outlineLevel="0" collapsed="false">
      <c r="A518" s="3" t="s">
        <v>476</v>
      </c>
      <c r="B518" s="3" t="s">
        <v>476</v>
      </c>
      <c r="C518" s="4" t="s">
        <v>15</v>
      </c>
      <c r="D518" s="3" t="s">
        <v>22</v>
      </c>
      <c r="E518" s="5" t="n">
        <v>65.25</v>
      </c>
      <c r="F518" s="3" t="s">
        <v>22</v>
      </c>
      <c r="G518" s="5" t="n">
        <v>65.25</v>
      </c>
      <c r="H518" s="5" t="n">
        <f aca="false">ROUND(ABS(G518)-ABS(E518),2)</f>
        <v>0</v>
      </c>
      <c r="I518" s="3" t="s">
        <v>488</v>
      </c>
      <c r="J518" s="3"/>
      <c r="K518" s="3"/>
      <c r="L518" s="3" t="s">
        <v>483</v>
      </c>
      <c r="M518" s="3" t="s">
        <v>491</v>
      </c>
      <c r="N518" s="3"/>
    </row>
    <row r="519" customFormat="false" ht="34.5" hidden="false" customHeight="true" outlineLevel="0" collapsed="false">
      <c r="A519" s="3" t="s">
        <v>476</v>
      </c>
      <c r="B519" s="3" t="s">
        <v>476</v>
      </c>
      <c r="C519" s="4" t="s">
        <v>15</v>
      </c>
      <c r="D519" s="3" t="s">
        <v>24</v>
      </c>
      <c r="E519" s="5" t="n">
        <v>2061.72</v>
      </c>
      <c r="F519" s="3" t="s">
        <v>24</v>
      </c>
      <c r="G519" s="5" t="n">
        <v>2061.72</v>
      </c>
      <c r="H519" s="5" t="n">
        <f aca="false">ROUND(ABS(G519)-ABS(E519),2)</f>
        <v>0</v>
      </c>
      <c r="I519" s="3" t="s">
        <v>488</v>
      </c>
      <c r="J519" s="3"/>
      <c r="K519" s="3"/>
      <c r="L519" s="3" t="s">
        <v>480</v>
      </c>
      <c r="M519" s="3" t="s">
        <v>492</v>
      </c>
      <c r="N519" s="3"/>
    </row>
    <row r="520" customFormat="false" ht="34.5" hidden="false" customHeight="true" outlineLevel="0" collapsed="false">
      <c r="A520" s="3" t="s">
        <v>476</v>
      </c>
      <c r="B520" s="3" t="s">
        <v>476</v>
      </c>
      <c r="C520" s="6" t="s">
        <v>28</v>
      </c>
      <c r="D520" s="3" t="s">
        <v>25</v>
      </c>
      <c r="E520" s="5" t="n">
        <v>72.77</v>
      </c>
      <c r="F520" s="3" t="s">
        <v>25</v>
      </c>
      <c r="G520" s="5" t="n">
        <v>0</v>
      </c>
      <c r="H520" s="5" t="n">
        <f aca="false">ROUND(ABS(G520)-ABS(E520),2)</f>
        <v>-72.77</v>
      </c>
      <c r="I520" s="3" t="s">
        <v>488</v>
      </c>
      <c r="J520" s="3" t="s">
        <v>45</v>
      </c>
      <c r="K520" s="3"/>
      <c r="L520" s="3" t="s">
        <v>486</v>
      </c>
      <c r="M520" s="3"/>
      <c r="N520" s="3" t="s">
        <v>62</v>
      </c>
    </row>
    <row r="521" customFormat="false" ht="23.25" hidden="false" customHeight="true" outlineLevel="0" collapsed="false">
      <c r="A521" s="3" t="s">
        <v>476</v>
      </c>
      <c r="B521" s="3" t="s">
        <v>476</v>
      </c>
      <c r="C521" s="7" t="s">
        <v>37</v>
      </c>
      <c r="D521" s="3" t="s">
        <v>29</v>
      </c>
      <c r="E521" s="5" t="s">
        <v>37</v>
      </c>
      <c r="F521" s="3" t="s">
        <v>29</v>
      </c>
      <c r="G521" s="5" t="s">
        <v>37</v>
      </c>
      <c r="H521" s="5" t="s">
        <v>37</v>
      </c>
      <c r="I521" s="3" t="s">
        <v>488</v>
      </c>
      <c r="J521" s="3" t="s">
        <v>38</v>
      </c>
      <c r="K521" s="3"/>
      <c r="L521" s="3" t="s">
        <v>39</v>
      </c>
      <c r="M521" s="3"/>
      <c r="N521" s="3" t="s">
        <v>40</v>
      </c>
    </row>
    <row r="522" customFormat="false" ht="15" hidden="false" customHeight="true" outlineLevel="0" collapsed="false">
      <c r="A522" s="3" t="s">
        <v>476</v>
      </c>
      <c r="B522" s="3" t="s">
        <v>476</v>
      </c>
      <c r="C522" s="7" t="s">
        <v>37</v>
      </c>
      <c r="D522" s="3" t="s">
        <v>25</v>
      </c>
      <c r="E522" s="5" t="n">
        <v>42.26</v>
      </c>
      <c r="F522" s="3" t="s">
        <v>25</v>
      </c>
      <c r="G522" s="5" t="s">
        <v>37</v>
      </c>
      <c r="H522" s="5" t="s">
        <v>37</v>
      </c>
      <c r="I522" s="3" t="s">
        <v>70</v>
      </c>
      <c r="J522" s="3" t="s">
        <v>71</v>
      </c>
      <c r="K522" s="3"/>
      <c r="L522" s="3" t="s">
        <v>72</v>
      </c>
      <c r="M522" s="3"/>
      <c r="N522" s="3" t="s">
        <v>73</v>
      </c>
    </row>
    <row r="523" customFormat="false" ht="75.75" hidden="false" customHeight="true" outlineLevel="0" collapsed="false">
      <c r="A523" s="8" t="s">
        <v>476</v>
      </c>
      <c r="B523" s="8" t="s">
        <v>476</v>
      </c>
      <c r="C523" s="8" t="s">
        <v>28</v>
      </c>
      <c r="D523" s="8" t="s">
        <v>47</v>
      </c>
      <c r="E523" s="8" t="s">
        <v>493</v>
      </c>
      <c r="F523" s="8" t="s">
        <v>47</v>
      </c>
      <c r="G523" s="8" t="s">
        <v>18</v>
      </c>
      <c r="H523" s="8"/>
      <c r="I523" s="8" t="s">
        <v>49</v>
      </c>
      <c r="J523" s="8" t="s">
        <v>18</v>
      </c>
      <c r="K523" s="8"/>
      <c r="L523" s="8" t="s">
        <v>477</v>
      </c>
      <c r="M523" s="8" t="s">
        <v>478</v>
      </c>
      <c r="N523" s="8" t="s">
        <v>50</v>
      </c>
    </row>
    <row r="524" customFormat="false" ht="23.25" hidden="false" customHeight="true" outlineLevel="0" collapsed="false">
      <c r="A524" s="3" t="s">
        <v>494</v>
      </c>
      <c r="B524" s="3" t="s">
        <v>494</v>
      </c>
      <c r="C524" s="4" t="s">
        <v>15</v>
      </c>
      <c r="D524" s="3" t="s">
        <v>16</v>
      </c>
      <c r="E524" s="5" t="n">
        <v>7500</v>
      </c>
      <c r="F524" s="3" t="s">
        <v>16</v>
      </c>
      <c r="G524" s="5" t="n">
        <v>7500</v>
      </c>
      <c r="H524" s="5" t="n">
        <f aca="false">ROUND(ABS(G524)-ABS(E524),2)</f>
        <v>0</v>
      </c>
      <c r="I524" s="3" t="s">
        <v>17</v>
      </c>
      <c r="J524" s="3" t="s">
        <v>214</v>
      </c>
      <c r="K524" s="3"/>
      <c r="L524" s="3" t="s">
        <v>495</v>
      </c>
      <c r="M524" s="3" t="s">
        <v>496</v>
      </c>
      <c r="N524" s="3"/>
    </row>
    <row r="525" customFormat="false" ht="23.25" hidden="false" customHeight="true" outlineLevel="0" collapsed="false">
      <c r="A525" s="3" t="s">
        <v>494</v>
      </c>
      <c r="B525" s="3" t="s">
        <v>494</v>
      </c>
      <c r="C525" s="4" t="s">
        <v>15</v>
      </c>
      <c r="D525" s="3" t="s">
        <v>21</v>
      </c>
      <c r="E525" s="5" t="n">
        <v>1288.84</v>
      </c>
      <c r="F525" s="3" t="s">
        <v>21</v>
      </c>
      <c r="G525" s="5" t="n">
        <v>1288.84</v>
      </c>
      <c r="H525" s="5" t="n">
        <f aca="false">ROUND(ABS(G525)-ABS(E525),2)</f>
        <v>0</v>
      </c>
      <c r="I525" s="3" t="s">
        <v>17</v>
      </c>
      <c r="J525" s="3" t="s">
        <v>214</v>
      </c>
      <c r="K525" s="3"/>
      <c r="L525" s="3" t="s">
        <v>495</v>
      </c>
      <c r="M525" s="3" t="s">
        <v>496</v>
      </c>
      <c r="N525" s="3"/>
    </row>
    <row r="526" customFormat="false" ht="23.25" hidden="false" customHeight="true" outlineLevel="0" collapsed="false">
      <c r="A526" s="3" t="s">
        <v>494</v>
      </c>
      <c r="B526" s="3" t="s">
        <v>494</v>
      </c>
      <c r="C526" s="4" t="s">
        <v>15</v>
      </c>
      <c r="D526" s="3" t="s">
        <v>22</v>
      </c>
      <c r="E526" s="5" t="n">
        <v>101.76</v>
      </c>
      <c r="F526" s="3" t="s">
        <v>22</v>
      </c>
      <c r="G526" s="5" t="n">
        <v>101.76</v>
      </c>
      <c r="H526" s="5" t="n">
        <f aca="false">ROUND(ABS(G526)-ABS(E526),2)</f>
        <v>0</v>
      </c>
      <c r="I526" s="3" t="s">
        <v>17</v>
      </c>
      <c r="J526" s="3" t="s">
        <v>214</v>
      </c>
      <c r="K526" s="3"/>
      <c r="L526" s="3" t="s">
        <v>495</v>
      </c>
      <c r="M526" s="3" t="s">
        <v>496</v>
      </c>
      <c r="N526" s="3" t="s">
        <v>23</v>
      </c>
    </row>
    <row r="527" customFormat="false" ht="23.25" hidden="false" customHeight="true" outlineLevel="0" collapsed="false">
      <c r="A527" s="3" t="s">
        <v>494</v>
      </c>
      <c r="B527" s="3" t="s">
        <v>494</v>
      </c>
      <c r="C527" s="4" t="s">
        <v>15</v>
      </c>
      <c r="D527" s="3" t="s">
        <v>24</v>
      </c>
      <c r="E527" s="5" t="n">
        <v>3707.91</v>
      </c>
      <c r="F527" s="3" t="s">
        <v>24</v>
      </c>
      <c r="G527" s="5" t="n">
        <v>3707.91</v>
      </c>
      <c r="H527" s="5" t="n">
        <f aca="false">ROUND(ABS(G527)-ABS(E527),2)</f>
        <v>0</v>
      </c>
      <c r="I527" s="3" t="s">
        <v>17</v>
      </c>
      <c r="J527" s="3" t="s">
        <v>214</v>
      </c>
      <c r="K527" s="3"/>
      <c r="L527" s="3" t="s">
        <v>495</v>
      </c>
      <c r="M527" s="3" t="s">
        <v>496</v>
      </c>
      <c r="N527" s="3"/>
    </row>
    <row r="528" customFormat="false" ht="23.25" hidden="false" customHeight="true" outlineLevel="0" collapsed="false">
      <c r="A528" s="3" t="s">
        <v>494</v>
      </c>
      <c r="B528" s="3" t="s">
        <v>494</v>
      </c>
      <c r="C528" s="6" t="s">
        <v>28</v>
      </c>
      <c r="D528" s="3" t="s">
        <v>25</v>
      </c>
      <c r="E528" s="5" t="n">
        <v>336.88</v>
      </c>
      <c r="F528" s="3" t="s">
        <v>25</v>
      </c>
      <c r="G528" s="5" t="n">
        <v>416.5</v>
      </c>
      <c r="H528" s="5" t="n">
        <f aca="false">ROUND(ABS(G528)-ABS(E528),2)</f>
        <v>79.62</v>
      </c>
      <c r="I528" s="3" t="s">
        <v>17</v>
      </c>
      <c r="J528" s="3" t="s">
        <v>214</v>
      </c>
      <c r="K528" s="3"/>
      <c r="L528" s="3" t="s">
        <v>495</v>
      </c>
      <c r="M528" s="3" t="s">
        <v>496</v>
      </c>
      <c r="N528" s="3"/>
    </row>
    <row r="529" customFormat="false" ht="23.25" hidden="false" customHeight="true" outlineLevel="0" collapsed="false">
      <c r="A529" s="3" t="s">
        <v>494</v>
      </c>
      <c r="B529" s="3" t="s">
        <v>494</v>
      </c>
      <c r="C529" s="4" t="s">
        <v>15</v>
      </c>
      <c r="D529" s="3" t="s">
        <v>26</v>
      </c>
      <c r="E529" s="5" t="n">
        <v>0</v>
      </c>
      <c r="F529" s="3" t="s">
        <v>26</v>
      </c>
      <c r="G529" s="5" t="n">
        <v>0</v>
      </c>
      <c r="H529" s="5" t="n">
        <f aca="false">ROUND(ABS(G529)-ABS(E529),2)</f>
        <v>0</v>
      </c>
      <c r="I529" s="3" t="s">
        <v>17</v>
      </c>
      <c r="J529" s="3" t="s">
        <v>214</v>
      </c>
      <c r="K529" s="3"/>
      <c r="L529" s="3" t="s">
        <v>495</v>
      </c>
      <c r="M529" s="3" t="s">
        <v>496</v>
      </c>
      <c r="N529" s="3" t="s">
        <v>27</v>
      </c>
    </row>
    <row r="530" customFormat="false" ht="23.25" hidden="false" customHeight="true" outlineLevel="0" collapsed="false">
      <c r="A530" s="3" t="s">
        <v>494</v>
      </c>
      <c r="B530" s="3" t="s">
        <v>494</v>
      </c>
      <c r="C530" s="6" t="s">
        <v>28</v>
      </c>
      <c r="D530" s="3" t="s">
        <v>29</v>
      </c>
      <c r="E530" s="5" t="n">
        <v>2053.87</v>
      </c>
      <c r="F530" s="3" t="s">
        <v>29</v>
      </c>
      <c r="G530" s="5" t="n">
        <v>-4184.52</v>
      </c>
      <c r="H530" s="5" t="n">
        <f aca="false">ROUND(ABS(G530)-ABS(E530),2)</f>
        <v>2130.65</v>
      </c>
      <c r="I530" s="3" t="s">
        <v>17</v>
      </c>
      <c r="J530" s="3" t="s">
        <v>214</v>
      </c>
      <c r="K530" s="3"/>
      <c r="L530" s="3" t="s">
        <v>495</v>
      </c>
      <c r="M530" s="3" t="s">
        <v>496</v>
      </c>
      <c r="N530" s="3" t="s">
        <v>30</v>
      </c>
    </row>
    <row r="531" customFormat="false" ht="34.5" hidden="false" customHeight="true" outlineLevel="0" collapsed="false">
      <c r="A531" s="3" t="s">
        <v>494</v>
      </c>
      <c r="B531" s="3" t="s">
        <v>494</v>
      </c>
      <c r="C531" s="4" t="s">
        <v>15</v>
      </c>
      <c r="D531" s="3" t="s">
        <v>16</v>
      </c>
      <c r="E531" s="5" t="n">
        <v>3500</v>
      </c>
      <c r="F531" s="3" t="s">
        <v>16</v>
      </c>
      <c r="G531" s="5" t="n">
        <v>3500</v>
      </c>
      <c r="H531" s="5" t="n">
        <f aca="false">ROUND(ABS(G531)-ABS(E531),2)</f>
        <v>0</v>
      </c>
      <c r="I531" s="3" t="s">
        <v>497</v>
      </c>
      <c r="J531" s="3"/>
      <c r="K531" s="3"/>
      <c r="L531" s="3" t="s">
        <v>498</v>
      </c>
      <c r="M531" s="3" t="s">
        <v>499</v>
      </c>
      <c r="N531" s="3"/>
    </row>
    <row r="532" customFormat="false" ht="34.5" hidden="false" customHeight="true" outlineLevel="0" collapsed="false">
      <c r="A532" s="3" t="s">
        <v>494</v>
      </c>
      <c r="B532" s="3" t="s">
        <v>494</v>
      </c>
      <c r="C532" s="4" t="s">
        <v>15</v>
      </c>
      <c r="D532" s="3" t="s">
        <v>21</v>
      </c>
      <c r="E532" s="5" t="n">
        <v>564.42</v>
      </c>
      <c r="F532" s="3" t="s">
        <v>21</v>
      </c>
      <c r="G532" s="5" t="n">
        <v>564.42</v>
      </c>
      <c r="H532" s="5" t="n">
        <f aca="false">ROUND(ABS(G532)-ABS(E532),2)</f>
        <v>0</v>
      </c>
      <c r="I532" s="3" t="s">
        <v>497</v>
      </c>
      <c r="J532" s="3"/>
      <c r="K532" s="3"/>
      <c r="L532" s="3" t="s">
        <v>498</v>
      </c>
      <c r="M532" s="3" t="s">
        <v>500</v>
      </c>
      <c r="N532" s="3"/>
    </row>
    <row r="533" customFormat="false" ht="34.5" hidden="false" customHeight="true" outlineLevel="0" collapsed="false">
      <c r="A533" s="3" t="s">
        <v>494</v>
      </c>
      <c r="B533" s="3" t="s">
        <v>494</v>
      </c>
      <c r="C533" s="4" t="s">
        <v>15</v>
      </c>
      <c r="D533" s="3" t="s">
        <v>22</v>
      </c>
      <c r="E533" s="5" t="n">
        <v>52.44</v>
      </c>
      <c r="F533" s="3" t="s">
        <v>22</v>
      </c>
      <c r="G533" s="5" t="n">
        <v>52.44</v>
      </c>
      <c r="H533" s="5" t="n">
        <f aca="false">ROUND(ABS(G533)-ABS(E533),2)</f>
        <v>0</v>
      </c>
      <c r="I533" s="3" t="s">
        <v>497</v>
      </c>
      <c r="J533" s="3"/>
      <c r="K533" s="3"/>
      <c r="L533" s="3" t="s">
        <v>501</v>
      </c>
      <c r="M533" s="3" t="s">
        <v>502</v>
      </c>
      <c r="N533" s="3"/>
    </row>
    <row r="534" customFormat="false" ht="34.5" hidden="false" customHeight="true" outlineLevel="0" collapsed="false">
      <c r="A534" s="3" t="s">
        <v>494</v>
      </c>
      <c r="B534" s="3" t="s">
        <v>494</v>
      </c>
      <c r="C534" s="4" t="s">
        <v>15</v>
      </c>
      <c r="D534" s="3" t="s">
        <v>24</v>
      </c>
      <c r="E534" s="5" t="n">
        <v>1394.72</v>
      </c>
      <c r="F534" s="3" t="s">
        <v>24</v>
      </c>
      <c r="G534" s="5" t="n">
        <v>1394.72</v>
      </c>
      <c r="H534" s="5" t="n">
        <f aca="false">ROUND(ABS(G534)-ABS(E534),2)</f>
        <v>0</v>
      </c>
      <c r="I534" s="3" t="s">
        <v>497</v>
      </c>
      <c r="J534" s="3"/>
      <c r="K534" s="3"/>
      <c r="L534" s="3" t="s">
        <v>498</v>
      </c>
      <c r="M534" s="3" t="s">
        <v>503</v>
      </c>
      <c r="N534" s="3"/>
    </row>
    <row r="535" customFormat="false" ht="68.25" hidden="false" customHeight="true" outlineLevel="0" collapsed="false">
      <c r="A535" s="3" t="s">
        <v>494</v>
      </c>
      <c r="B535" s="3" t="s">
        <v>494</v>
      </c>
      <c r="C535" s="7" t="s">
        <v>37</v>
      </c>
      <c r="D535" s="3" t="s">
        <v>25</v>
      </c>
      <c r="E535" s="5" t="n">
        <v>35.28</v>
      </c>
      <c r="F535" s="3" t="s">
        <v>25</v>
      </c>
      <c r="G535" s="5" t="n">
        <v>336.88</v>
      </c>
      <c r="H535" s="5" t="n">
        <f aca="false">ROUND(ABS(G535)-ABS(E535),2)</f>
        <v>301.6</v>
      </c>
      <c r="I535" s="3" t="s">
        <v>497</v>
      </c>
      <c r="J535" s="3"/>
      <c r="K535" s="3"/>
      <c r="L535" s="3" t="s">
        <v>504</v>
      </c>
      <c r="M535" s="3" t="s">
        <v>505</v>
      </c>
      <c r="N535" s="3" t="s">
        <v>62</v>
      </c>
    </row>
    <row r="536" customFormat="false" ht="23.25" hidden="false" customHeight="true" outlineLevel="0" collapsed="false">
      <c r="A536" s="3" t="s">
        <v>494</v>
      </c>
      <c r="B536" s="3" t="s">
        <v>494</v>
      </c>
      <c r="C536" s="7" t="s">
        <v>37</v>
      </c>
      <c r="D536" s="3" t="s">
        <v>29</v>
      </c>
      <c r="E536" s="5" t="s">
        <v>37</v>
      </c>
      <c r="F536" s="3" t="s">
        <v>29</v>
      </c>
      <c r="G536" s="5" t="s">
        <v>37</v>
      </c>
      <c r="H536" s="5" t="s">
        <v>37</v>
      </c>
      <c r="I536" s="3" t="s">
        <v>497</v>
      </c>
      <c r="J536" s="3" t="s">
        <v>38</v>
      </c>
      <c r="K536" s="3"/>
      <c r="L536" s="3" t="s">
        <v>39</v>
      </c>
      <c r="M536" s="3"/>
      <c r="N536" s="3" t="s">
        <v>40</v>
      </c>
    </row>
    <row r="537" customFormat="false" ht="34.5" hidden="false" customHeight="true" outlineLevel="0" collapsed="false">
      <c r="A537" s="3" t="s">
        <v>494</v>
      </c>
      <c r="B537" s="3" t="s">
        <v>494</v>
      </c>
      <c r="C537" s="4" t="s">
        <v>15</v>
      </c>
      <c r="D537" s="3" t="s">
        <v>16</v>
      </c>
      <c r="E537" s="5" t="n">
        <v>4000</v>
      </c>
      <c r="F537" s="3" t="s">
        <v>16</v>
      </c>
      <c r="G537" s="5" t="n">
        <v>4000</v>
      </c>
      <c r="H537" s="5" t="n">
        <f aca="false">ROUND(ABS(G537)-ABS(E537),2)</f>
        <v>0</v>
      </c>
      <c r="I537" s="3" t="s">
        <v>506</v>
      </c>
      <c r="J537" s="3"/>
      <c r="K537" s="3"/>
      <c r="L537" s="3" t="s">
        <v>498</v>
      </c>
      <c r="M537" s="3" t="s">
        <v>507</v>
      </c>
      <c r="N537" s="3"/>
    </row>
    <row r="538" customFormat="false" ht="34.5" hidden="false" customHeight="true" outlineLevel="0" collapsed="false">
      <c r="A538" s="3" t="s">
        <v>494</v>
      </c>
      <c r="B538" s="3" t="s">
        <v>494</v>
      </c>
      <c r="C538" s="4" t="s">
        <v>15</v>
      </c>
      <c r="D538" s="3" t="s">
        <v>21</v>
      </c>
      <c r="E538" s="5" t="n">
        <v>724.42</v>
      </c>
      <c r="F538" s="3" t="s">
        <v>21</v>
      </c>
      <c r="G538" s="5" t="n">
        <v>724.42</v>
      </c>
      <c r="H538" s="5" t="n">
        <f aca="false">ROUND(ABS(G538)-ABS(E538),2)</f>
        <v>0</v>
      </c>
      <c r="I538" s="3" t="s">
        <v>506</v>
      </c>
      <c r="J538" s="3"/>
      <c r="K538" s="3"/>
      <c r="L538" s="3" t="s">
        <v>498</v>
      </c>
      <c r="M538" s="3" t="s">
        <v>508</v>
      </c>
      <c r="N538" s="3"/>
    </row>
    <row r="539" customFormat="false" ht="34.5" hidden="false" customHeight="true" outlineLevel="0" collapsed="false">
      <c r="A539" s="3" t="s">
        <v>494</v>
      </c>
      <c r="B539" s="3" t="s">
        <v>494</v>
      </c>
      <c r="C539" s="4" t="s">
        <v>15</v>
      </c>
      <c r="D539" s="3" t="s">
        <v>22</v>
      </c>
      <c r="E539" s="5" t="n">
        <v>49.32</v>
      </c>
      <c r="F539" s="3" t="s">
        <v>22</v>
      </c>
      <c r="G539" s="5" t="n">
        <v>49.32</v>
      </c>
      <c r="H539" s="5" t="n">
        <f aca="false">ROUND(ABS(G539)-ABS(E539),2)</f>
        <v>0</v>
      </c>
      <c r="I539" s="3" t="s">
        <v>506</v>
      </c>
      <c r="J539" s="3"/>
      <c r="K539" s="3"/>
      <c r="L539" s="3" t="s">
        <v>501</v>
      </c>
      <c r="M539" s="3" t="s">
        <v>509</v>
      </c>
      <c r="N539" s="3"/>
    </row>
    <row r="540" customFormat="false" ht="34.5" hidden="false" customHeight="true" outlineLevel="0" collapsed="false">
      <c r="A540" s="3" t="s">
        <v>494</v>
      </c>
      <c r="B540" s="3" t="s">
        <v>494</v>
      </c>
      <c r="C540" s="4" t="s">
        <v>15</v>
      </c>
      <c r="D540" s="3" t="s">
        <v>24</v>
      </c>
      <c r="E540" s="5" t="n">
        <v>2313.19</v>
      </c>
      <c r="F540" s="3" t="s">
        <v>24</v>
      </c>
      <c r="G540" s="5" t="n">
        <v>2313.19</v>
      </c>
      <c r="H540" s="5" t="n">
        <f aca="false">ROUND(ABS(G540)-ABS(E540),2)</f>
        <v>0</v>
      </c>
      <c r="I540" s="3" t="s">
        <v>506</v>
      </c>
      <c r="J540" s="3"/>
      <c r="K540" s="3"/>
      <c r="L540" s="3" t="s">
        <v>498</v>
      </c>
      <c r="M540" s="3" t="s">
        <v>510</v>
      </c>
      <c r="N540" s="3"/>
    </row>
    <row r="541" customFormat="false" ht="34.5" hidden="false" customHeight="true" outlineLevel="0" collapsed="false">
      <c r="A541" s="3" t="s">
        <v>494</v>
      </c>
      <c r="B541" s="3" t="s">
        <v>494</v>
      </c>
      <c r="C541" s="6" t="s">
        <v>28</v>
      </c>
      <c r="D541" s="3" t="s">
        <v>25</v>
      </c>
      <c r="E541" s="5" t="n">
        <v>82.83</v>
      </c>
      <c r="F541" s="3" t="s">
        <v>25</v>
      </c>
      <c r="G541" s="5" t="n">
        <v>79.62</v>
      </c>
      <c r="H541" s="5" t="n">
        <f aca="false">ROUND(ABS(G541)-ABS(E541),2)</f>
        <v>-3.21</v>
      </c>
      <c r="I541" s="3" t="s">
        <v>506</v>
      </c>
      <c r="J541" s="3"/>
      <c r="K541" s="3"/>
      <c r="L541" s="3" t="s">
        <v>504</v>
      </c>
      <c r="M541" s="3" t="s">
        <v>511</v>
      </c>
      <c r="N541" s="3" t="s">
        <v>62</v>
      </c>
    </row>
    <row r="542" customFormat="false" ht="23.25" hidden="false" customHeight="true" outlineLevel="0" collapsed="false">
      <c r="A542" s="3" t="s">
        <v>494</v>
      </c>
      <c r="B542" s="3" t="s">
        <v>494</v>
      </c>
      <c r="C542" s="7" t="s">
        <v>37</v>
      </c>
      <c r="D542" s="3" t="s">
        <v>29</v>
      </c>
      <c r="E542" s="5" t="s">
        <v>37</v>
      </c>
      <c r="F542" s="3" t="s">
        <v>29</v>
      </c>
      <c r="G542" s="5" t="s">
        <v>37</v>
      </c>
      <c r="H542" s="5" t="s">
        <v>37</v>
      </c>
      <c r="I542" s="3" t="s">
        <v>506</v>
      </c>
      <c r="J542" s="3" t="s">
        <v>38</v>
      </c>
      <c r="K542" s="3"/>
      <c r="L542" s="3" t="s">
        <v>39</v>
      </c>
      <c r="M542" s="3"/>
      <c r="N542" s="3" t="s">
        <v>40</v>
      </c>
    </row>
    <row r="543" customFormat="false" ht="15" hidden="false" customHeight="true" outlineLevel="0" collapsed="false">
      <c r="A543" s="3" t="s">
        <v>494</v>
      </c>
      <c r="B543" s="3" t="s">
        <v>494</v>
      </c>
      <c r="C543" s="7" t="s">
        <v>37</v>
      </c>
      <c r="D543" s="3" t="s">
        <v>25</v>
      </c>
      <c r="E543" s="5" t="n">
        <v>218.77</v>
      </c>
      <c r="F543" s="3" t="s">
        <v>25</v>
      </c>
      <c r="G543" s="5" t="s">
        <v>37</v>
      </c>
      <c r="H543" s="5" t="s">
        <v>37</v>
      </c>
      <c r="I543" s="3" t="s">
        <v>70</v>
      </c>
      <c r="J543" s="3" t="s">
        <v>71</v>
      </c>
      <c r="K543" s="3"/>
      <c r="L543" s="3" t="s">
        <v>72</v>
      </c>
      <c r="M543" s="3"/>
      <c r="N543" s="3" t="s">
        <v>73</v>
      </c>
    </row>
    <row r="544" customFormat="false" ht="75.75" hidden="false" customHeight="true" outlineLevel="0" collapsed="false">
      <c r="A544" s="8" t="s">
        <v>494</v>
      </c>
      <c r="B544" s="8" t="s">
        <v>494</v>
      </c>
      <c r="C544" s="8" t="s">
        <v>28</v>
      </c>
      <c r="D544" s="8" t="s">
        <v>47</v>
      </c>
      <c r="E544" s="8" t="s">
        <v>512</v>
      </c>
      <c r="F544" s="8" t="s">
        <v>47</v>
      </c>
      <c r="G544" s="8" t="s">
        <v>214</v>
      </c>
      <c r="H544" s="8"/>
      <c r="I544" s="8" t="s">
        <v>49</v>
      </c>
      <c r="J544" s="8" t="s">
        <v>214</v>
      </c>
      <c r="K544" s="8"/>
      <c r="L544" s="8" t="s">
        <v>495</v>
      </c>
      <c r="M544" s="8" t="s">
        <v>496</v>
      </c>
      <c r="N544" s="8" t="s">
        <v>513</v>
      </c>
    </row>
    <row r="545" customFormat="false" ht="23.25" hidden="false" customHeight="true" outlineLevel="0" collapsed="false">
      <c r="A545" s="3" t="s">
        <v>514</v>
      </c>
      <c r="B545" s="3" t="s">
        <v>514</v>
      </c>
      <c r="C545" s="4" t="s">
        <v>15</v>
      </c>
      <c r="D545" s="3" t="s">
        <v>16</v>
      </c>
      <c r="E545" s="5" t="n">
        <v>5550</v>
      </c>
      <c r="F545" s="3" t="s">
        <v>16</v>
      </c>
      <c r="G545" s="5" t="n">
        <v>5550</v>
      </c>
      <c r="H545" s="5" t="n">
        <f aca="false">ROUND(ABS(G545)-ABS(E545),2)</f>
        <v>0</v>
      </c>
      <c r="I545" s="3" t="s">
        <v>17</v>
      </c>
      <c r="J545" s="3" t="s">
        <v>214</v>
      </c>
      <c r="K545" s="3"/>
      <c r="L545" s="3" t="s">
        <v>515</v>
      </c>
      <c r="M545" s="3" t="s">
        <v>516</v>
      </c>
      <c r="N545" s="3"/>
    </row>
    <row r="546" customFormat="false" ht="23.25" hidden="false" customHeight="true" outlineLevel="0" collapsed="false">
      <c r="A546" s="3" t="s">
        <v>514</v>
      </c>
      <c r="B546" s="3" t="s">
        <v>514</v>
      </c>
      <c r="C546" s="4" t="s">
        <v>15</v>
      </c>
      <c r="D546" s="3" t="s">
        <v>21</v>
      </c>
      <c r="E546" s="5" t="n">
        <v>1051.03</v>
      </c>
      <c r="F546" s="3" t="s">
        <v>21</v>
      </c>
      <c r="G546" s="5" t="n">
        <v>1051.03</v>
      </c>
      <c r="H546" s="5" t="n">
        <f aca="false">ROUND(ABS(G546)-ABS(E546),2)</f>
        <v>0</v>
      </c>
      <c r="I546" s="3" t="s">
        <v>17</v>
      </c>
      <c r="J546" s="3" t="s">
        <v>214</v>
      </c>
      <c r="K546" s="3"/>
      <c r="L546" s="3" t="s">
        <v>515</v>
      </c>
      <c r="M546" s="3" t="s">
        <v>516</v>
      </c>
      <c r="N546" s="3"/>
    </row>
    <row r="547" customFormat="false" ht="23.25" hidden="false" customHeight="true" outlineLevel="0" collapsed="false">
      <c r="A547" s="3" t="s">
        <v>514</v>
      </c>
      <c r="B547" s="3" t="s">
        <v>514</v>
      </c>
      <c r="C547" s="4" t="s">
        <v>15</v>
      </c>
      <c r="D547" s="3" t="s">
        <v>22</v>
      </c>
      <c r="E547" s="5" t="n">
        <v>0</v>
      </c>
      <c r="F547" s="3" t="s">
        <v>22</v>
      </c>
      <c r="G547" s="5" t="n">
        <v>0</v>
      </c>
      <c r="H547" s="5" t="n">
        <f aca="false">ROUND(ABS(G547)-ABS(E547),2)</f>
        <v>0</v>
      </c>
      <c r="I547" s="3" t="s">
        <v>17</v>
      </c>
      <c r="J547" s="3" t="s">
        <v>214</v>
      </c>
      <c r="K547" s="3"/>
      <c r="L547" s="3" t="s">
        <v>515</v>
      </c>
      <c r="M547" s="3" t="s">
        <v>516</v>
      </c>
      <c r="N547" s="3" t="s">
        <v>23</v>
      </c>
    </row>
    <row r="548" customFormat="false" ht="23.25" hidden="false" customHeight="true" outlineLevel="0" collapsed="false">
      <c r="A548" s="3" t="s">
        <v>514</v>
      </c>
      <c r="B548" s="3" t="s">
        <v>514</v>
      </c>
      <c r="C548" s="4" t="s">
        <v>15</v>
      </c>
      <c r="D548" s="3" t="s">
        <v>24</v>
      </c>
      <c r="E548" s="5" t="n">
        <v>2684.35</v>
      </c>
      <c r="F548" s="3" t="s">
        <v>24</v>
      </c>
      <c r="G548" s="5" t="n">
        <v>2684.35</v>
      </c>
      <c r="H548" s="5" t="n">
        <f aca="false">ROUND(ABS(G548)-ABS(E548),2)</f>
        <v>0</v>
      </c>
      <c r="I548" s="3" t="s">
        <v>17</v>
      </c>
      <c r="J548" s="3" t="s">
        <v>214</v>
      </c>
      <c r="K548" s="3"/>
      <c r="L548" s="3" t="s">
        <v>515</v>
      </c>
      <c r="M548" s="3" t="s">
        <v>516</v>
      </c>
      <c r="N548" s="3"/>
    </row>
    <row r="549" customFormat="false" ht="23.25" hidden="false" customHeight="true" outlineLevel="0" collapsed="false">
      <c r="A549" s="3" t="s">
        <v>514</v>
      </c>
      <c r="B549" s="3" t="s">
        <v>514</v>
      </c>
      <c r="C549" s="6" t="s">
        <v>28</v>
      </c>
      <c r="D549" s="3" t="s">
        <v>25</v>
      </c>
      <c r="E549" s="5" t="n">
        <v>699.57</v>
      </c>
      <c r="F549" s="3" t="s">
        <v>25</v>
      </c>
      <c r="G549" s="5" t="n">
        <v>771.6</v>
      </c>
      <c r="H549" s="5" t="n">
        <f aca="false">ROUND(ABS(G549)-ABS(E549),2)</f>
        <v>72.03</v>
      </c>
      <c r="I549" s="3" t="s">
        <v>17</v>
      </c>
      <c r="J549" s="3" t="s">
        <v>214</v>
      </c>
      <c r="K549" s="3"/>
      <c r="L549" s="3" t="s">
        <v>515</v>
      </c>
      <c r="M549" s="3" t="s">
        <v>516</v>
      </c>
      <c r="N549" s="3"/>
    </row>
    <row r="550" customFormat="false" ht="23.25" hidden="false" customHeight="true" outlineLevel="0" collapsed="false">
      <c r="A550" s="3" t="s">
        <v>514</v>
      </c>
      <c r="B550" s="3" t="s">
        <v>514</v>
      </c>
      <c r="C550" s="4" t="s">
        <v>15</v>
      </c>
      <c r="D550" s="3" t="s">
        <v>26</v>
      </c>
      <c r="E550" s="5" t="n">
        <v>617.17</v>
      </c>
      <c r="F550" s="3" t="s">
        <v>26</v>
      </c>
      <c r="G550" s="5" t="n">
        <v>617.17</v>
      </c>
      <c r="H550" s="5" t="n">
        <f aca="false">ROUND(ABS(G550)-ABS(E550),2)</f>
        <v>0</v>
      </c>
      <c r="I550" s="3" t="s">
        <v>17</v>
      </c>
      <c r="J550" s="3" t="s">
        <v>214</v>
      </c>
      <c r="K550" s="3"/>
      <c r="L550" s="3" t="s">
        <v>515</v>
      </c>
      <c r="M550" s="3" t="s">
        <v>516</v>
      </c>
      <c r="N550" s="3" t="s">
        <v>27</v>
      </c>
    </row>
    <row r="551" customFormat="false" ht="23.25" hidden="false" customHeight="true" outlineLevel="0" collapsed="false">
      <c r="A551" s="3" t="s">
        <v>514</v>
      </c>
      <c r="B551" s="3" t="s">
        <v>514</v>
      </c>
      <c r="C551" s="6" t="s">
        <v>28</v>
      </c>
      <c r="D551" s="3" t="s">
        <v>29</v>
      </c>
      <c r="E551" s="5" t="n">
        <v>1031.8</v>
      </c>
      <c r="F551" s="3" t="s">
        <v>29</v>
      </c>
      <c r="G551" s="5" t="n">
        <v>-3395.12</v>
      </c>
      <c r="H551" s="5" t="n">
        <f aca="false">ROUND(ABS(G551)-ABS(E551),2)</f>
        <v>2363.32</v>
      </c>
      <c r="I551" s="3" t="s">
        <v>17</v>
      </c>
      <c r="J551" s="3" t="s">
        <v>214</v>
      </c>
      <c r="K551" s="3"/>
      <c r="L551" s="3" t="s">
        <v>515</v>
      </c>
      <c r="M551" s="3" t="s">
        <v>516</v>
      </c>
      <c r="N551" s="3" t="s">
        <v>30</v>
      </c>
    </row>
    <row r="552" customFormat="false" ht="34.5" hidden="false" customHeight="true" outlineLevel="0" collapsed="false">
      <c r="A552" s="3" t="s">
        <v>514</v>
      </c>
      <c r="B552" s="3" t="s">
        <v>514</v>
      </c>
      <c r="C552" s="4" t="s">
        <v>15</v>
      </c>
      <c r="D552" s="3" t="s">
        <v>16</v>
      </c>
      <c r="E552" s="5" t="n">
        <v>3450</v>
      </c>
      <c r="F552" s="3" t="s">
        <v>16</v>
      </c>
      <c r="G552" s="5" t="n">
        <v>3450</v>
      </c>
      <c r="H552" s="5" t="n">
        <f aca="false">ROUND(ABS(G552)-ABS(E552),2)</f>
        <v>0</v>
      </c>
      <c r="I552" s="3" t="s">
        <v>517</v>
      </c>
      <c r="J552" s="3"/>
      <c r="K552" s="3"/>
      <c r="L552" s="3" t="s">
        <v>518</v>
      </c>
      <c r="M552" s="3" t="s">
        <v>519</v>
      </c>
      <c r="N552" s="3"/>
    </row>
    <row r="553" customFormat="false" ht="34.5" hidden="false" customHeight="true" outlineLevel="0" collapsed="false">
      <c r="A553" s="3" t="s">
        <v>514</v>
      </c>
      <c r="B553" s="3" t="s">
        <v>514</v>
      </c>
      <c r="C553" s="4" t="s">
        <v>15</v>
      </c>
      <c r="D553" s="3" t="s">
        <v>21</v>
      </c>
      <c r="E553" s="5" t="n">
        <v>500.22</v>
      </c>
      <c r="F553" s="3" t="s">
        <v>21</v>
      </c>
      <c r="G553" s="5" t="n">
        <v>500.22</v>
      </c>
      <c r="H553" s="5" t="n">
        <f aca="false">ROUND(ABS(G553)-ABS(E553),2)</f>
        <v>0</v>
      </c>
      <c r="I553" s="3" t="s">
        <v>517</v>
      </c>
      <c r="J553" s="3"/>
      <c r="K553" s="3"/>
      <c r="L553" s="3" t="s">
        <v>518</v>
      </c>
      <c r="M553" s="3" t="s">
        <v>520</v>
      </c>
      <c r="N553" s="3"/>
    </row>
    <row r="554" customFormat="false" ht="34.5" hidden="false" customHeight="true" outlineLevel="0" collapsed="false">
      <c r="A554" s="3" t="s">
        <v>514</v>
      </c>
      <c r="B554" s="3" t="s">
        <v>514</v>
      </c>
      <c r="C554" s="4" t="s">
        <v>15</v>
      </c>
      <c r="D554" s="3" t="s">
        <v>24</v>
      </c>
      <c r="E554" s="5" t="n">
        <v>1002.59</v>
      </c>
      <c r="F554" s="3" t="s">
        <v>24</v>
      </c>
      <c r="G554" s="5" t="n">
        <v>1002.59</v>
      </c>
      <c r="H554" s="5" t="n">
        <f aca="false">ROUND(ABS(G554)-ABS(E554),2)</f>
        <v>0</v>
      </c>
      <c r="I554" s="3" t="s">
        <v>517</v>
      </c>
      <c r="J554" s="3"/>
      <c r="K554" s="3"/>
      <c r="L554" s="3" t="s">
        <v>518</v>
      </c>
      <c r="M554" s="3" t="s">
        <v>521</v>
      </c>
      <c r="N554" s="3"/>
    </row>
    <row r="555" customFormat="false" ht="23.25" hidden="false" customHeight="true" outlineLevel="0" collapsed="false">
      <c r="A555" s="3" t="s">
        <v>514</v>
      </c>
      <c r="B555" s="3" t="s">
        <v>514</v>
      </c>
      <c r="C555" s="7" t="s">
        <v>37</v>
      </c>
      <c r="D555" s="3" t="s">
        <v>25</v>
      </c>
      <c r="E555" s="5" t="n">
        <v>0</v>
      </c>
      <c r="F555" s="3" t="s">
        <v>25</v>
      </c>
      <c r="G555" s="5" t="n">
        <v>771.6</v>
      </c>
      <c r="H555" s="5" t="n">
        <f aca="false">ROUND(ABS(G555)-ABS(E555),2)</f>
        <v>771.6</v>
      </c>
      <c r="I555" s="3" t="s">
        <v>517</v>
      </c>
      <c r="J555" s="3"/>
      <c r="K555" s="3"/>
      <c r="L555" s="3" t="s">
        <v>522</v>
      </c>
      <c r="M555" s="3" t="s">
        <v>523</v>
      </c>
      <c r="N555" s="3" t="s">
        <v>62</v>
      </c>
    </row>
    <row r="556" customFormat="false" ht="23.25" hidden="false" customHeight="true" outlineLevel="0" collapsed="false">
      <c r="A556" s="3" t="s">
        <v>514</v>
      </c>
      <c r="B556" s="3" t="s">
        <v>514</v>
      </c>
      <c r="C556" s="6" t="s">
        <v>28</v>
      </c>
      <c r="D556" s="3" t="s">
        <v>26</v>
      </c>
      <c r="E556" s="5" t="n">
        <v>0</v>
      </c>
      <c r="F556" s="3" t="s">
        <v>26</v>
      </c>
      <c r="G556" s="5" t="n">
        <v>617.17</v>
      </c>
      <c r="H556" s="5" t="n">
        <f aca="false">ROUND(ABS(G556)-ABS(E556),2)</f>
        <v>617.17</v>
      </c>
      <c r="I556" s="3" t="s">
        <v>517</v>
      </c>
      <c r="J556" s="3"/>
      <c r="K556" s="3"/>
      <c r="L556" s="3" t="s">
        <v>522</v>
      </c>
      <c r="M556" s="3" t="s">
        <v>524</v>
      </c>
      <c r="N556" s="3"/>
    </row>
    <row r="557" customFormat="false" ht="23.25" hidden="false" customHeight="true" outlineLevel="0" collapsed="false">
      <c r="A557" s="3" t="s">
        <v>514</v>
      </c>
      <c r="B557" s="3" t="s">
        <v>514</v>
      </c>
      <c r="C557" s="7" t="s">
        <v>37</v>
      </c>
      <c r="D557" s="3" t="s">
        <v>29</v>
      </c>
      <c r="E557" s="5" t="s">
        <v>37</v>
      </c>
      <c r="F557" s="3" t="s">
        <v>29</v>
      </c>
      <c r="G557" s="5" t="s">
        <v>37</v>
      </c>
      <c r="H557" s="5" t="s">
        <v>37</v>
      </c>
      <c r="I557" s="3" t="s">
        <v>517</v>
      </c>
      <c r="J557" s="3" t="s">
        <v>38</v>
      </c>
      <c r="K557" s="3"/>
      <c r="L557" s="3" t="s">
        <v>39</v>
      </c>
      <c r="M557" s="3"/>
      <c r="N557" s="3" t="s">
        <v>40</v>
      </c>
    </row>
    <row r="558" customFormat="false" ht="34.5" hidden="false" customHeight="true" outlineLevel="0" collapsed="false">
      <c r="A558" s="3" t="s">
        <v>514</v>
      </c>
      <c r="B558" s="3" t="s">
        <v>514</v>
      </c>
      <c r="C558" s="4" t="s">
        <v>15</v>
      </c>
      <c r="D558" s="3" t="s">
        <v>16</v>
      </c>
      <c r="E558" s="5" t="n">
        <v>2100</v>
      </c>
      <c r="F558" s="3" t="s">
        <v>16</v>
      </c>
      <c r="G558" s="5" t="n">
        <v>2100</v>
      </c>
      <c r="H558" s="5" t="n">
        <f aca="false">ROUND(ABS(G558)-ABS(E558),2)</f>
        <v>0</v>
      </c>
      <c r="I558" s="3" t="s">
        <v>525</v>
      </c>
      <c r="J558" s="3"/>
      <c r="K558" s="3"/>
      <c r="L558" s="3" t="s">
        <v>518</v>
      </c>
      <c r="M558" s="3" t="s">
        <v>526</v>
      </c>
      <c r="N558" s="3"/>
    </row>
    <row r="559" customFormat="false" ht="34.5" hidden="false" customHeight="true" outlineLevel="0" collapsed="false">
      <c r="A559" s="3" t="s">
        <v>514</v>
      </c>
      <c r="B559" s="3" t="s">
        <v>514</v>
      </c>
      <c r="C559" s="4" t="s">
        <v>15</v>
      </c>
      <c r="D559" s="3" t="s">
        <v>21</v>
      </c>
      <c r="E559" s="5" t="n">
        <v>550.81</v>
      </c>
      <c r="F559" s="3" t="s">
        <v>21</v>
      </c>
      <c r="G559" s="5" t="n">
        <v>550.81</v>
      </c>
      <c r="H559" s="5" t="n">
        <f aca="false">ROUND(ABS(G559)-ABS(E559),2)</f>
        <v>0</v>
      </c>
      <c r="I559" s="3" t="s">
        <v>525</v>
      </c>
      <c r="J559" s="3"/>
      <c r="K559" s="3"/>
      <c r="L559" s="3" t="s">
        <v>518</v>
      </c>
      <c r="M559" s="3" t="s">
        <v>527</v>
      </c>
      <c r="N559" s="3"/>
    </row>
    <row r="560" customFormat="false" ht="34.5" hidden="false" customHeight="true" outlineLevel="0" collapsed="false">
      <c r="A560" s="3" t="s">
        <v>514</v>
      </c>
      <c r="B560" s="3" t="s">
        <v>514</v>
      </c>
      <c r="C560" s="4" t="s">
        <v>15</v>
      </c>
      <c r="D560" s="3" t="s">
        <v>24</v>
      </c>
      <c r="E560" s="5" t="n">
        <v>1681.76</v>
      </c>
      <c r="F560" s="3" t="s">
        <v>24</v>
      </c>
      <c r="G560" s="5" t="n">
        <v>1681.76</v>
      </c>
      <c r="H560" s="5" t="n">
        <f aca="false">ROUND(ABS(G560)-ABS(E560),2)</f>
        <v>0</v>
      </c>
      <c r="I560" s="3" t="s">
        <v>525</v>
      </c>
      <c r="J560" s="3"/>
      <c r="K560" s="3"/>
      <c r="L560" s="3" t="s">
        <v>518</v>
      </c>
      <c r="M560" s="3" t="s">
        <v>528</v>
      </c>
      <c r="N560" s="3"/>
    </row>
    <row r="561" customFormat="false" ht="34.5" hidden="false" customHeight="true" outlineLevel="0" collapsed="false">
      <c r="A561" s="3" t="s">
        <v>514</v>
      </c>
      <c r="B561" s="3" t="s">
        <v>514</v>
      </c>
      <c r="C561" s="6" t="s">
        <v>28</v>
      </c>
      <c r="D561" s="3" t="s">
        <v>25</v>
      </c>
      <c r="E561" s="5" t="n">
        <v>82.4</v>
      </c>
      <c r="F561" s="3" t="s">
        <v>25</v>
      </c>
      <c r="G561" s="5" t="n">
        <v>0</v>
      </c>
      <c r="H561" s="5" t="n">
        <f aca="false">ROUND(ABS(G561)-ABS(E561),2)</f>
        <v>-82.4</v>
      </c>
      <c r="I561" s="3" t="s">
        <v>525</v>
      </c>
      <c r="J561" s="3"/>
      <c r="K561" s="3"/>
      <c r="L561" s="3" t="s">
        <v>529</v>
      </c>
      <c r="M561" s="3"/>
      <c r="N561" s="3" t="s">
        <v>62</v>
      </c>
    </row>
    <row r="562" customFormat="false" ht="23.25" hidden="false" customHeight="true" outlineLevel="0" collapsed="false">
      <c r="A562" s="3" t="s">
        <v>514</v>
      </c>
      <c r="B562" s="3" t="s">
        <v>514</v>
      </c>
      <c r="C562" s="7" t="s">
        <v>37</v>
      </c>
      <c r="D562" s="3" t="s">
        <v>29</v>
      </c>
      <c r="E562" s="5" t="s">
        <v>37</v>
      </c>
      <c r="F562" s="3" t="s">
        <v>29</v>
      </c>
      <c r="G562" s="5" t="s">
        <v>37</v>
      </c>
      <c r="H562" s="5" t="s">
        <v>37</v>
      </c>
      <c r="I562" s="3" t="s">
        <v>525</v>
      </c>
      <c r="J562" s="3" t="s">
        <v>38</v>
      </c>
      <c r="K562" s="3"/>
      <c r="L562" s="3" t="s">
        <v>39</v>
      </c>
      <c r="M562" s="3"/>
      <c r="N562" s="3" t="s">
        <v>40</v>
      </c>
    </row>
    <row r="563" customFormat="false" ht="15" hidden="false" customHeight="true" outlineLevel="0" collapsed="false">
      <c r="A563" s="3" t="s">
        <v>514</v>
      </c>
      <c r="B563" s="3" t="s">
        <v>514</v>
      </c>
      <c r="C563" s="7" t="s">
        <v>37</v>
      </c>
      <c r="D563" s="3" t="s">
        <v>25</v>
      </c>
      <c r="E563" s="5" t="n">
        <v>617.17</v>
      </c>
      <c r="F563" s="3" t="s">
        <v>25</v>
      </c>
      <c r="G563" s="5" t="s">
        <v>37</v>
      </c>
      <c r="H563" s="5" t="s">
        <v>37</v>
      </c>
      <c r="I563" s="3" t="s">
        <v>70</v>
      </c>
      <c r="J563" s="3" t="s">
        <v>71</v>
      </c>
      <c r="K563" s="3"/>
      <c r="L563" s="3" t="s">
        <v>72</v>
      </c>
      <c r="M563" s="3"/>
      <c r="N563" s="3" t="s">
        <v>73</v>
      </c>
    </row>
    <row r="564" customFormat="false" ht="75.75" hidden="false" customHeight="true" outlineLevel="0" collapsed="false">
      <c r="A564" s="8" t="s">
        <v>514</v>
      </c>
      <c r="B564" s="8" t="s">
        <v>514</v>
      </c>
      <c r="C564" s="8" t="s">
        <v>28</v>
      </c>
      <c r="D564" s="8" t="s">
        <v>47</v>
      </c>
      <c r="E564" s="8" t="s">
        <v>530</v>
      </c>
      <c r="F564" s="8" t="s">
        <v>47</v>
      </c>
      <c r="G564" s="8" t="s">
        <v>214</v>
      </c>
      <c r="H564" s="8"/>
      <c r="I564" s="8" t="s">
        <v>49</v>
      </c>
      <c r="J564" s="8" t="s">
        <v>214</v>
      </c>
      <c r="K564" s="8"/>
      <c r="L564" s="8" t="s">
        <v>515</v>
      </c>
      <c r="M564" s="8" t="s">
        <v>516</v>
      </c>
      <c r="N564" s="8" t="s">
        <v>531</v>
      </c>
    </row>
    <row r="565" customFormat="false" ht="23.25" hidden="false" customHeight="true" outlineLevel="0" collapsed="false">
      <c r="A565" s="3" t="s">
        <v>532</v>
      </c>
      <c r="B565" s="3" t="s">
        <v>532</v>
      </c>
      <c r="C565" s="4" t="s">
        <v>15</v>
      </c>
      <c r="D565" s="3" t="s">
        <v>16</v>
      </c>
      <c r="E565" s="5" t="n">
        <v>2500</v>
      </c>
      <c r="F565" s="3" t="s">
        <v>16</v>
      </c>
      <c r="G565" s="5" t="n">
        <v>2500</v>
      </c>
      <c r="H565" s="5" t="n">
        <f aca="false">ROUND(ABS(G565)-ABS(E565),2)</f>
        <v>0</v>
      </c>
      <c r="I565" s="3" t="s">
        <v>17</v>
      </c>
      <c r="J565" s="3" t="s">
        <v>214</v>
      </c>
      <c r="K565" s="3"/>
      <c r="L565" s="3" t="s">
        <v>533</v>
      </c>
      <c r="M565" s="3" t="s">
        <v>534</v>
      </c>
      <c r="N565" s="3"/>
    </row>
    <row r="566" customFormat="false" ht="23.25" hidden="false" customHeight="true" outlineLevel="0" collapsed="false">
      <c r="A566" s="3" t="s">
        <v>532</v>
      </c>
      <c r="B566" s="3" t="s">
        <v>532</v>
      </c>
      <c r="C566" s="4" t="s">
        <v>15</v>
      </c>
      <c r="D566" s="3" t="s">
        <v>21</v>
      </c>
      <c r="E566" s="5" t="n">
        <v>379.73</v>
      </c>
      <c r="F566" s="3" t="s">
        <v>21</v>
      </c>
      <c r="G566" s="5" t="n">
        <v>379.73</v>
      </c>
      <c r="H566" s="5" t="n">
        <f aca="false">ROUND(ABS(G566)-ABS(E566),2)</f>
        <v>0</v>
      </c>
      <c r="I566" s="3" t="s">
        <v>17</v>
      </c>
      <c r="J566" s="3" t="s">
        <v>214</v>
      </c>
      <c r="K566" s="3"/>
      <c r="L566" s="3" t="s">
        <v>533</v>
      </c>
      <c r="M566" s="3" t="s">
        <v>534</v>
      </c>
      <c r="N566" s="3"/>
    </row>
    <row r="567" customFormat="false" ht="23.25" hidden="false" customHeight="true" outlineLevel="0" collapsed="false">
      <c r="A567" s="3" t="s">
        <v>532</v>
      </c>
      <c r="B567" s="3" t="s">
        <v>532</v>
      </c>
      <c r="C567" s="4" t="s">
        <v>15</v>
      </c>
      <c r="D567" s="3" t="s">
        <v>22</v>
      </c>
      <c r="E567" s="5" t="n">
        <v>0</v>
      </c>
      <c r="F567" s="3" t="s">
        <v>22</v>
      </c>
      <c r="G567" s="5" t="n">
        <v>0</v>
      </c>
      <c r="H567" s="5" t="n">
        <f aca="false">ROUND(ABS(G567)-ABS(E567),2)</f>
        <v>0</v>
      </c>
      <c r="I567" s="3" t="s">
        <v>17</v>
      </c>
      <c r="J567" s="3" t="s">
        <v>214</v>
      </c>
      <c r="K567" s="3"/>
      <c r="L567" s="3" t="s">
        <v>533</v>
      </c>
      <c r="M567" s="3" t="s">
        <v>534</v>
      </c>
      <c r="N567" s="3" t="s">
        <v>23</v>
      </c>
    </row>
    <row r="568" customFormat="false" ht="23.25" hidden="false" customHeight="true" outlineLevel="0" collapsed="false">
      <c r="A568" s="3" t="s">
        <v>532</v>
      </c>
      <c r="B568" s="3" t="s">
        <v>532</v>
      </c>
      <c r="C568" s="6" t="s">
        <v>28</v>
      </c>
      <c r="D568" s="3" t="s">
        <v>24</v>
      </c>
      <c r="E568" s="5" t="n">
        <v>0</v>
      </c>
      <c r="F568" s="3" t="s">
        <v>24</v>
      </c>
      <c r="G568" s="5" t="n">
        <v>807.03</v>
      </c>
      <c r="H568" s="5" t="n">
        <f aca="false">ROUND(ABS(G568)-ABS(E568),2)</f>
        <v>807.03</v>
      </c>
      <c r="I568" s="3" t="s">
        <v>17</v>
      </c>
      <c r="J568" s="3" t="s">
        <v>214</v>
      </c>
      <c r="K568" s="3"/>
      <c r="L568" s="3" t="s">
        <v>533</v>
      </c>
      <c r="M568" s="3" t="s">
        <v>534</v>
      </c>
      <c r="N568" s="3"/>
    </row>
    <row r="569" customFormat="false" ht="23.25" hidden="false" customHeight="true" outlineLevel="0" collapsed="false">
      <c r="A569" s="3" t="s">
        <v>532</v>
      </c>
      <c r="B569" s="3" t="s">
        <v>532</v>
      </c>
      <c r="C569" s="6" t="s">
        <v>28</v>
      </c>
      <c r="D569" s="3" t="s">
        <v>25</v>
      </c>
      <c r="E569" s="5" t="n">
        <v>0</v>
      </c>
      <c r="F569" s="3" t="s">
        <v>25</v>
      </c>
      <c r="G569" s="5" t="n">
        <v>45.05</v>
      </c>
      <c r="H569" s="5" t="n">
        <f aca="false">ROUND(ABS(G569)-ABS(E569),2)</f>
        <v>45.05</v>
      </c>
      <c r="I569" s="3" t="s">
        <v>17</v>
      </c>
      <c r="J569" s="3" t="s">
        <v>214</v>
      </c>
      <c r="K569" s="3"/>
      <c r="L569" s="3" t="s">
        <v>533</v>
      </c>
      <c r="M569" s="3" t="s">
        <v>534</v>
      </c>
      <c r="N569" s="3"/>
    </row>
    <row r="570" customFormat="false" ht="23.25" hidden="false" customHeight="true" outlineLevel="0" collapsed="false">
      <c r="A570" s="3" t="s">
        <v>532</v>
      </c>
      <c r="B570" s="3" t="s">
        <v>532</v>
      </c>
      <c r="C570" s="4" t="s">
        <v>15</v>
      </c>
      <c r="D570" s="3" t="s">
        <v>26</v>
      </c>
      <c r="E570" s="5" t="n">
        <v>0</v>
      </c>
      <c r="F570" s="3" t="s">
        <v>26</v>
      </c>
      <c r="G570" s="5" t="n">
        <v>0</v>
      </c>
      <c r="H570" s="5" t="n">
        <f aca="false">ROUND(ABS(G570)-ABS(E570),2)</f>
        <v>0</v>
      </c>
      <c r="I570" s="3" t="s">
        <v>17</v>
      </c>
      <c r="J570" s="3" t="s">
        <v>214</v>
      </c>
      <c r="K570" s="3"/>
      <c r="L570" s="3" t="s">
        <v>533</v>
      </c>
      <c r="M570" s="3" t="s">
        <v>534</v>
      </c>
      <c r="N570" s="3" t="s">
        <v>27</v>
      </c>
    </row>
    <row r="571" customFormat="false" ht="23.25" hidden="false" customHeight="true" outlineLevel="0" collapsed="false">
      <c r="A571" s="3" t="s">
        <v>532</v>
      </c>
      <c r="B571" s="3" t="s">
        <v>532</v>
      </c>
      <c r="C571" s="6" t="s">
        <v>28</v>
      </c>
      <c r="D571" s="3" t="s">
        <v>29</v>
      </c>
      <c r="E571" s="5" t="n">
        <v>2120.27</v>
      </c>
      <c r="F571" s="3" t="s">
        <v>29</v>
      </c>
      <c r="G571" s="5" t="n">
        <v>461.16</v>
      </c>
      <c r="H571" s="5" t="n">
        <f aca="false">ROUND(ABS(G571)-ABS(E571),2)</f>
        <v>-1659.11</v>
      </c>
      <c r="I571" s="3" t="s">
        <v>17</v>
      </c>
      <c r="J571" s="3" t="s">
        <v>214</v>
      </c>
      <c r="K571" s="3"/>
      <c r="L571" s="3" t="s">
        <v>533</v>
      </c>
      <c r="M571" s="3" t="s">
        <v>534</v>
      </c>
      <c r="N571" s="3" t="s">
        <v>30</v>
      </c>
    </row>
    <row r="572" customFormat="false" ht="34.5" hidden="false" customHeight="true" outlineLevel="0" collapsed="false">
      <c r="A572" s="3" t="s">
        <v>532</v>
      </c>
      <c r="B572" s="3" t="s">
        <v>532</v>
      </c>
      <c r="C572" s="4" t="s">
        <v>15</v>
      </c>
      <c r="D572" s="3" t="s">
        <v>16</v>
      </c>
      <c r="E572" s="5" t="n">
        <v>2500</v>
      </c>
      <c r="F572" s="3" t="s">
        <v>16</v>
      </c>
      <c r="G572" s="5" t="n">
        <v>2500</v>
      </c>
      <c r="H572" s="5" t="n">
        <f aca="false">ROUND(ABS(G572)-ABS(E572),2)</f>
        <v>0</v>
      </c>
      <c r="I572" s="3" t="s">
        <v>535</v>
      </c>
      <c r="J572" s="3"/>
      <c r="K572" s="3"/>
      <c r="L572" s="3" t="s">
        <v>536</v>
      </c>
      <c r="M572" s="3" t="s">
        <v>537</v>
      </c>
      <c r="N572" s="3"/>
    </row>
    <row r="573" customFormat="false" ht="34.5" hidden="false" customHeight="true" outlineLevel="0" collapsed="false">
      <c r="A573" s="3" t="s">
        <v>532</v>
      </c>
      <c r="B573" s="3" t="s">
        <v>532</v>
      </c>
      <c r="C573" s="4" t="s">
        <v>15</v>
      </c>
      <c r="D573" s="3" t="s">
        <v>21</v>
      </c>
      <c r="E573" s="5" t="n">
        <v>379.73</v>
      </c>
      <c r="F573" s="3" t="s">
        <v>21</v>
      </c>
      <c r="G573" s="5" t="n">
        <v>379.73</v>
      </c>
      <c r="H573" s="5" t="n">
        <f aca="false">ROUND(ABS(G573)-ABS(E573),2)</f>
        <v>0</v>
      </c>
      <c r="I573" s="3" t="s">
        <v>535</v>
      </c>
      <c r="J573" s="3"/>
      <c r="K573" s="3"/>
      <c r="L573" s="3" t="s">
        <v>536</v>
      </c>
      <c r="M573" s="3" t="s">
        <v>538</v>
      </c>
      <c r="N573" s="3"/>
    </row>
    <row r="574" customFormat="false" ht="23.25" hidden="false" customHeight="true" outlineLevel="0" collapsed="false">
      <c r="A574" s="3" t="s">
        <v>532</v>
      </c>
      <c r="B574" s="3" t="s">
        <v>532</v>
      </c>
      <c r="C574" s="6" t="s">
        <v>28</v>
      </c>
      <c r="D574" s="3" t="s">
        <v>24</v>
      </c>
      <c r="E574" s="5" t="n">
        <v>0</v>
      </c>
      <c r="F574" s="3" t="s">
        <v>24</v>
      </c>
      <c r="G574" s="5" t="n">
        <v>807.03</v>
      </c>
      <c r="H574" s="5" t="n">
        <f aca="false">ROUND(ABS(G574)-ABS(E574),2)</f>
        <v>807.03</v>
      </c>
      <c r="I574" s="3" t="s">
        <v>535</v>
      </c>
      <c r="J574" s="3"/>
      <c r="K574" s="3"/>
      <c r="L574" s="3" t="s">
        <v>539</v>
      </c>
      <c r="M574" s="3" t="s">
        <v>540</v>
      </c>
      <c r="N574" s="3"/>
    </row>
    <row r="575" customFormat="false" ht="23.25" hidden="false" customHeight="true" outlineLevel="0" collapsed="false">
      <c r="A575" s="3" t="s">
        <v>532</v>
      </c>
      <c r="B575" s="3" t="s">
        <v>532</v>
      </c>
      <c r="C575" s="6" t="s">
        <v>28</v>
      </c>
      <c r="D575" s="3" t="s">
        <v>25</v>
      </c>
      <c r="E575" s="5" t="n">
        <v>0</v>
      </c>
      <c r="F575" s="3" t="s">
        <v>25</v>
      </c>
      <c r="G575" s="5" t="n">
        <v>45.05</v>
      </c>
      <c r="H575" s="5" t="n">
        <f aca="false">ROUND(ABS(G575)-ABS(E575),2)</f>
        <v>45.05</v>
      </c>
      <c r="I575" s="3" t="s">
        <v>535</v>
      </c>
      <c r="J575" s="3"/>
      <c r="K575" s="3"/>
      <c r="L575" s="3" t="s">
        <v>539</v>
      </c>
      <c r="M575" s="3" t="s">
        <v>541</v>
      </c>
      <c r="N575" s="3"/>
    </row>
    <row r="576" customFormat="false" ht="23.25" hidden="false" customHeight="true" outlineLevel="0" collapsed="false">
      <c r="A576" s="3" t="s">
        <v>532</v>
      </c>
      <c r="B576" s="3" t="s">
        <v>532</v>
      </c>
      <c r="C576" s="7" t="s">
        <v>37</v>
      </c>
      <c r="D576" s="3" t="s">
        <v>29</v>
      </c>
      <c r="E576" s="5" t="s">
        <v>37</v>
      </c>
      <c r="F576" s="3" t="s">
        <v>29</v>
      </c>
      <c r="G576" s="5" t="s">
        <v>37</v>
      </c>
      <c r="H576" s="5" t="s">
        <v>37</v>
      </c>
      <c r="I576" s="3" t="s">
        <v>535</v>
      </c>
      <c r="J576" s="3" t="s">
        <v>38</v>
      </c>
      <c r="K576" s="3"/>
      <c r="L576" s="3" t="s">
        <v>39</v>
      </c>
      <c r="M576" s="3"/>
      <c r="N576" s="3" t="s">
        <v>40</v>
      </c>
    </row>
    <row r="577" customFormat="false" ht="75.75" hidden="false" customHeight="true" outlineLevel="0" collapsed="false">
      <c r="A577" s="8" t="s">
        <v>532</v>
      </c>
      <c r="B577" s="8" t="s">
        <v>532</v>
      </c>
      <c r="C577" s="8" t="s">
        <v>28</v>
      </c>
      <c r="D577" s="8" t="s">
        <v>47</v>
      </c>
      <c r="E577" s="8" t="s">
        <v>542</v>
      </c>
      <c r="F577" s="8" t="s">
        <v>47</v>
      </c>
      <c r="G577" s="8" t="s">
        <v>214</v>
      </c>
      <c r="H577" s="8"/>
      <c r="I577" s="8" t="s">
        <v>49</v>
      </c>
      <c r="J577" s="8" t="s">
        <v>214</v>
      </c>
      <c r="K577" s="8"/>
      <c r="L577" s="8" t="s">
        <v>533</v>
      </c>
      <c r="M577" s="8" t="s">
        <v>534</v>
      </c>
      <c r="N577" s="8" t="s">
        <v>543</v>
      </c>
    </row>
    <row r="578" customFormat="false" ht="23.25" hidden="false" customHeight="true" outlineLevel="0" collapsed="false">
      <c r="A578" s="3" t="s">
        <v>544</v>
      </c>
      <c r="B578" s="3" t="s">
        <v>544</v>
      </c>
      <c r="C578" s="4" t="s">
        <v>15</v>
      </c>
      <c r="D578" s="3" t="s">
        <v>16</v>
      </c>
      <c r="E578" s="5" t="n">
        <v>6500</v>
      </c>
      <c r="F578" s="3" t="s">
        <v>16</v>
      </c>
      <c r="G578" s="5" t="n">
        <v>6500</v>
      </c>
      <c r="H578" s="5" t="n">
        <f aca="false">ROUND(ABS(G578)-ABS(E578),2)</f>
        <v>0</v>
      </c>
      <c r="I578" s="3" t="s">
        <v>17</v>
      </c>
      <c r="J578" s="3" t="s">
        <v>18</v>
      </c>
      <c r="K578" s="3"/>
      <c r="L578" s="3" t="s">
        <v>545</v>
      </c>
      <c r="M578" s="3" t="s">
        <v>546</v>
      </c>
      <c r="N578" s="3"/>
    </row>
    <row r="579" customFormat="false" ht="23.25" hidden="false" customHeight="true" outlineLevel="0" collapsed="false">
      <c r="A579" s="3" t="s">
        <v>544</v>
      </c>
      <c r="B579" s="3" t="s">
        <v>544</v>
      </c>
      <c r="C579" s="4" t="s">
        <v>15</v>
      </c>
      <c r="D579" s="3" t="s">
        <v>21</v>
      </c>
      <c r="E579" s="5" t="n">
        <v>1416.85</v>
      </c>
      <c r="F579" s="3" t="s">
        <v>21</v>
      </c>
      <c r="G579" s="5" t="n">
        <v>1416.85</v>
      </c>
      <c r="H579" s="5" t="n">
        <f aca="false">ROUND(ABS(G579)-ABS(E579),2)</f>
        <v>0</v>
      </c>
      <c r="I579" s="3" t="s">
        <v>17</v>
      </c>
      <c r="J579" s="3" t="s">
        <v>18</v>
      </c>
      <c r="K579" s="3"/>
      <c r="L579" s="3" t="s">
        <v>545</v>
      </c>
      <c r="M579" s="3" t="s">
        <v>546</v>
      </c>
      <c r="N579" s="3"/>
    </row>
    <row r="580" customFormat="false" ht="23.25" hidden="false" customHeight="true" outlineLevel="0" collapsed="false">
      <c r="A580" s="3" t="s">
        <v>544</v>
      </c>
      <c r="B580" s="3" t="s">
        <v>544</v>
      </c>
      <c r="C580" s="4" t="s">
        <v>15</v>
      </c>
      <c r="D580" s="3" t="s">
        <v>22</v>
      </c>
      <c r="E580" s="5" t="n">
        <v>137.63</v>
      </c>
      <c r="F580" s="3" t="s">
        <v>22</v>
      </c>
      <c r="G580" s="5" t="n">
        <v>137.63</v>
      </c>
      <c r="H580" s="5" t="n">
        <f aca="false">ROUND(ABS(G580)-ABS(E580),2)</f>
        <v>0</v>
      </c>
      <c r="I580" s="3" t="s">
        <v>17</v>
      </c>
      <c r="J580" s="3" t="s">
        <v>18</v>
      </c>
      <c r="K580" s="3"/>
      <c r="L580" s="3" t="s">
        <v>545</v>
      </c>
      <c r="M580" s="3" t="s">
        <v>546</v>
      </c>
      <c r="N580" s="3" t="s">
        <v>23</v>
      </c>
    </row>
    <row r="581" customFormat="false" ht="23.25" hidden="false" customHeight="true" outlineLevel="0" collapsed="false">
      <c r="A581" s="3" t="s">
        <v>544</v>
      </c>
      <c r="B581" s="3" t="s">
        <v>544</v>
      </c>
      <c r="C581" s="4" t="s">
        <v>15</v>
      </c>
      <c r="D581" s="3" t="s">
        <v>24</v>
      </c>
      <c r="E581" s="5" t="n">
        <v>3311.58</v>
      </c>
      <c r="F581" s="3" t="s">
        <v>24</v>
      </c>
      <c r="G581" s="5" t="n">
        <v>3311.58</v>
      </c>
      <c r="H581" s="5" t="n">
        <f aca="false">ROUND(ABS(G581)-ABS(E581),2)</f>
        <v>0</v>
      </c>
      <c r="I581" s="3" t="s">
        <v>17</v>
      </c>
      <c r="J581" s="3" t="s">
        <v>18</v>
      </c>
      <c r="K581" s="3"/>
      <c r="L581" s="3" t="s">
        <v>545</v>
      </c>
      <c r="M581" s="3" t="s">
        <v>546</v>
      </c>
      <c r="N581" s="3"/>
    </row>
    <row r="582" customFormat="false" ht="23.25" hidden="false" customHeight="true" outlineLevel="0" collapsed="false">
      <c r="A582" s="3" t="s">
        <v>544</v>
      </c>
      <c r="B582" s="3" t="s">
        <v>544</v>
      </c>
      <c r="C582" s="4" t="s">
        <v>15</v>
      </c>
      <c r="D582" s="3" t="s">
        <v>25</v>
      </c>
      <c r="E582" s="5" t="n">
        <v>137.48</v>
      </c>
      <c r="F582" s="3" t="s">
        <v>25</v>
      </c>
      <c r="G582" s="5" t="n">
        <v>137.48</v>
      </c>
      <c r="H582" s="5" t="n">
        <f aca="false">ROUND(ABS(G582)-ABS(E582),2)</f>
        <v>0</v>
      </c>
      <c r="I582" s="3" t="s">
        <v>17</v>
      </c>
      <c r="J582" s="3" t="s">
        <v>18</v>
      </c>
      <c r="K582" s="3"/>
      <c r="L582" s="3" t="s">
        <v>545</v>
      </c>
      <c r="M582" s="3" t="s">
        <v>546</v>
      </c>
      <c r="N582" s="3"/>
    </row>
    <row r="583" customFormat="false" ht="23.25" hidden="false" customHeight="true" outlineLevel="0" collapsed="false">
      <c r="A583" s="3" t="s">
        <v>544</v>
      </c>
      <c r="B583" s="3" t="s">
        <v>544</v>
      </c>
      <c r="C583" s="4" t="s">
        <v>15</v>
      </c>
      <c r="D583" s="3" t="s">
        <v>26</v>
      </c>
      <c r="E583" s="5" t="n">
        <v>37.63</v>
      </c>
      <c r="F583" s="3" t="s">
        <v>26</v>
      </c>
      <c r="G583" s="5" t="n">
        <v>37.63</v>
      </c>
      <c r="H583" s="5" t="n">
        <f aca="false">ROUND(ABS(G583)-ABS(E583),2)</f>
        <v>0</v>
      </c>
      <c r="I583" s="3" t="s">
        <v>17</v>
      </c>
      <c r="J583" s="3" t="s">
        <v>18</v>
      </c>
      <c r="K583" s="3"/>
      <c r="L583" s="3" t="s">
        <v>545</v>
      </c>
      <c r="M583" s="3" t="s">
        <v>546</v>
      </c>
      <c r="N583" s="3" t="s">
        <v>27</v>
      </c>
    </row>
    <row r="584" customFormat="false" ht="23.25" hidden="false" customHeight="true" outlineLevel="0" collapsed="false">
      <c r="A584" s="3" t="s">
        <v>544</v>
      </c>
      <c r="B584" s="3" t="s">
        <v>544</v>
      </c>
      <c r="C584" s="6" t="s">
        <v>28</v>
      </c>
      <c r="D584" s="3" t="s">
        <v>29</v>
      </c>
      <c r="E584" s="5" t="n">
        <v>1436.59</v>
      </c>
      <c r="F584" s="3" t="s">
        <v>29</v>
      </c>
      <c r="G584" s="5" t="n">
        <v>-1914.97</v>
      </c>
      <c r="H584" s="5" t="n">
        <f aca="false">ROUND(ABS(G584)-ABS(E584),2)</f>
        <v>478.38</v>
      </c>
      <c r="I584" s="3" t="s">
        <v>17</v>
      </c>
      <c r="J584" s="3" t="s">
        <v>18</v>
      </c>
      <c r="K584" s="3"/>
      <c r="L584" s="3" t="s">
        <v>545</v>
      </c>
      <c r="M584" s="3" t="s">
        <v>546</v>
      </c>
      <c r="N584" s="3" t="s">
        <v>30</v>
      </c>
    </row>
    <row r="585" customFormat="false" ht="34.5" hidden="false" customHeight="true" outlineLevel="0" collapsed="false">
      <c r="A585" s="3" t="s">
        <v>544</v>
      </c>
      <c r="B585" s="3" t="s">
        <v>544</v>
      </c>
      <c r="C585" s="4" t="s">
        <v>15</v>
      </c>
      <c r="D585" s="3" t="s">
        <v>16</v>
      </c>
      <c r="E585" s="5" t="n">
        <v>3000</v>
      </c>
      <c r="F585" s="3" t="s">
        <v>16</v>
      </c>
      <c r="G585" s="5" t="n">
        <v>3000</v>
      </c>
      <c r="H585" s="5" t="n">
        <f aca="false">ROUND(ABS(G585)-ABS(E585),2)</f>
        <v>0</v>
      </c>
      <c r="I585" s="3" t="s">
        <v>547</v>
      </c>
      <c r="J585" s="3"/>
      <c r="K585" s="3"/>
      <c r="L585" s="3" t="s">
        <v>548</v>
      </c>
      <c r="M585" s="3" t="s">
        <v>549</v>
      </c>
      <c r="N585" s="3"/>
    </row>
    <row r="586" customFormat="false" ht="34.5" hidden="false" customHeight="true" outlineLevel="0" collapsed="false">
      <c r="A586" s="3" t="s">
        <v>544</v>
      </c>
      <c r="B586" s="3" t="s">
        <v>544</v>
      </c>
      <c r="C586" s="4" t="s">
        <v>15</v>
      </c>
      <c r="D586" s="3" t="s">
        <v>21</v>
      </c>
      <c r="E586" s="5" t="n">
        <v>698.9</v>
      </c>
      <c r="F586" s="3" t="s">
        <v>21</v>
      </c>
      <c r="G586" s="5" t="n">
        <v>698.9</v>
      </c>
      <c r="H586" s="5" t="n">
        <f aca="false">ROUND(ABS(G586)-ABS(E586),2)</f>
        <v>0</v>
      </c>
      <c r="I586" s="3" t="s">
        <v>547</v>
      </c>
      <c r="J586" s="3"/>
      <c r="K586" s="3"/>
      <c r="L586" s="3" t="s">
        <v>548</v>
      </c>
      <c r="M586" s="3" t="s">
        <v>550</v>
      </c>
      <c r="N586" s="3"/>
    </row>
    <row r="587" customFormat="false" ht="34.5" hidden="false" customHeight="true" outlineLevel="0" collapsed="false">
      <c r="A587" s="3" t="s">
        <v>544</v>
      </c>
      <c r="B587" s="3" t="s">
        <v>544</v>
      </c>
      <c r="C587" s="4" t="s">
        <v>15</v>
      </c>
      <c r="D587" s="3" t="s">
        <v>22</v>
      </c>
      <c r="E587" s="5" t="n">
        <v>87.63</v>
      </c>
      <c r="F587" s="3" t="s">
        <v>22</v>
      </c>
      <c r="G587" s="5" t="n">
        <v>87.63</v>
      </c>
      <c r="H587" s="5" t="n">
        <f aca="false">ROUND(ABS(G587)-ABS(E587),2)</f>
        <v>0</v>
      </c>
      <c r="I587" s="3" t="s">
        <v>547</v>
      </c>
      <c r="J587" s="3"/>
      <c r="K587" s="3"/>
      <c r="L587" s="3" t="s">
        <v>551</v>
      </c>
      <c r="M587" s="3" t="s">
        <v>552</v>
      </c>
      <c r="N587" s="3"/>
    </row>
    <row r="588" customFormat="false" ht="34.5" hidden="false" customHeight="true" outlineLevel="0" collapsed="false">
      <c r="A588" s="3" t="s">
        <v>544</v>
      </c>
      <c r="B588" s="3" t="s">
        <v>544</v>
      </c>
      <c r="C588" s="4" t="s">
        <v>15</v>
      </c>
      <c r="D588" s="3" t="s">
        <v>24</v>
      </c>
      <c r="E588" s="5" t="n">
        <v>1854.51</v>
      </c>
      <c r="F588" s="3" t="s">
        <v>24</v>
      </c>
      <c r="G588" s="5" t="n">
        <v>1854.51</v>
      </c>
      <c r="H588" s="5" t="n">
        <f aca="false">ROUND(ABS(G588)-ABS(E588),2)</f>
        <v>0</v>
      </c>
      <c r="I588" s="3" t="s">
        <v>547</v>
      </c>
      <c r="J588" s="3"/>
      <c r="K588" s="3"/>
      <c r="L588" s="3" t="s">
        <v>548</v>
      </c>
      <c r="M588" s="3" t="s">
        <v>553</v>
      </c>
      <c r="N588" s="3"/>
    </row>
    <row r="589" customFormat="false" ht="45.75" hidden="false" customHeight="true" outlineLevel="0" collapsed="false">
      <c r="A589" s="3" t="s">
        <v>544</v>
      </c>
      <c r="B589" s="3" t="s">
        <v>544</v>
      </c>
      <c r="C589" s="7" t="s">
        <v>37</v>
      </c>
      <c r="D589" s="3" t="s">
        <v>25</v>
      </c>
      <c r="E589" s="5" t="n">
        <v>58.88</v>
      </c>
      <c r="F589" s="3" t="s">
        <v>25</v>
      </c>
      <c r="G589" s="5" t="n">
        <v>137.48</v>
      </c>
      <c r="H589" s="5" t="n">
        <f aca="false">ROUND(ABS(G589)-ABS(E589),2)</f>
        <v>78.6</v>
      </c>
      <c r="I589" s="3" t="s">
        <v>547</v>
      </c>
      <c r="J589" s="3"/>
      <c r="K589" s="3"/>
      <c r="L589" s="3" t="s">
        <v>554</v>
      </c>
      <c r="M589" s="3" t="s">
        <v>555</v>
      </c>
      <c r="N589" s="3" t="s">
        <v>62</v>
      </c>
    </row>
    <row r="590" customFormat="false" ht="23.25" hidden="false" customHeight="true" outlineLevel="0" collapsed="false">
      <c r="A590" s="3" t="s">
        <v>544</v>
      </c>
      <c r="B590" s="3" t="s">
        <v>544</v>
      </c>
      <c r="C590" s="6" t="s">
        <v>28</v>
      </c>
      <c r="D590" s="3" t="s">
        <v>26</v>
      </c>
      <c r="E590" s="5" t="n">
        <v>0</v>
      </c>
      <c r="F590" s="3" t="s">
        <v>26</v>
      </c>
      <c r="G590" s="5" t="n">
        <v>37.63</v>
      </c>
      <c r="H590" s="5" t="n">
        <f aca="false">ROUND(ABS(G590)-ABS(E590),2)</f>
        <v>37.63</v>
      </c>
      <c r="I590" s="3" t="s">
        <v>547</v>
      </c>
      <c r="J590" s="3"/>
      <c r="K590" s="3"/>
      <c r="L590" s="3" t="s">
        <v>556</v>
      </c>
      <c r="M590" s="3" t="s">
        <v>557</v>
      </c>
      <c r="N590" s="3"/>
    </row>
    <row r="591" customFormat="false" ht="23.25" hidden="false" customHeight="true" outlineLevel="0" collapsed="false">
      <c r="A591" s="3" t="s">
        <v>544</v>
      </c>
      <c r="B591" s="3" t="s">
        <v>544</v>
      </c>
      <c r="C591" s="7" t="s">
        <v>37</v>
      </c>
      <c r="D591" s="3" t="s">
        <v>29</v>
      </c>
      <c r="E591" s="5" t="s">
        <v>37</v>
      </c>
      <c r="F591" s="3" t="s">
        <v>29</v>
      </c>
      <c r="G591" s="5" t="s">
        <v>37</v>
      </c>
      <c r="H591" s="5" t="s">
        <v>37</v>
      </c>
      <c r="I591" s="3" t="s">
        <v>547</v>
      </c>
      <c r="J591" s="3" t="s">
        <v>38</v>
      </c>
      <c r="K591" s="3"/>
      <c r="L591" s="3" t="s">
        <v>39</v>
      </c>
      <c r="M591" s="3"/>
      <c r="N591" s="3" t="s">
        <v>40</v>
      </c>
    </row>
    <row r="592" customFormat="false" ht="34.5" hidden="false" customHeight="true" outlineLevel="0" collapsed="false">
      <c r="A592" s="3" t="s">
        <v>544</v>
      </c>
      <c r="B592" s="3" t="s">
        <v>544</v>
      </c>
      <c r="C592" s="4" t="s">
        <v>15</v>
      </c>
      <c r="D592" s="3" t="s">
        <v>16</v>
      </c>
      <c r="E592" s="5" t="n">
        <v>3500</v>
      </c>
      <c r="F592" s="3" t="s">
        <v>16</v>
      </c>
      <c r="G592" s="5" t="n">
        <v>3500</v>
      </c>
      <c r="H592" s="5" t="n">
        <f aca="false">ROUND(ABS(G592)-ABS(E592),2)</f>
        <v>0</v>
      </c>
      <c r="I592" s="3" t="s">
        <v>558</v>
      </c>
      <c r="J592" s="3"/>
      <c r="K592" s="3"/>
      <c r="L592" s="3" t="s">
        <v>548</v>
      </c>
      <c r="M592" s="3" t="s">
        <v>559</v>
      </c>
      <c r="N592" s="3"/>
    </row>
    <row r="593" customFormat="false" ht="34.5" hidden="false" customHeight="true" outlineLevel="0" collapsed="false">
      <c r="A593" s="3" t="s">
        <v>544</v>
      </c>
      <c r="B593" s="3" t="s">
        <v>544</v>
      </c>
      <c r="C593" s="4" t="s">
        <v>15</v>
      </c>
      <c r="D593" s="3" t="s">
        <v>21</v>
      </c>
      <c r="E593" s="5" t="n">
        <v>717.95</v>
      </c>
      <c r="F593" s="3" t="s">
        <v>21</v>
      </c>
      <c r="G593" s="5" t="n">
        <v>717.95</v>
      </c>
      <c r="H593" s="5" t="n">
        <f aca="false">ROUND(ABS(G593)-ABS(E593),2)</f>
        <v>0</v>
      </c>
      <c r="I593" s="3" t="s">
        <v>558</v>
      </c>
      <c r="J593" s="3"/>
      <c r="K593" s="3"/>
      <c r="L593" s="3" t="s">
        <v>548</v>
      </c>
      <c r="M593" s="3" t="s">
        <v>560</v>
      </c>
      <c r="N593" s="3"/>
    </row>
    <row r="594" customFormat="false" ht="34.5" hidden="false" customHeight="true" outlineLevel="0" collapsed="false">
      <c r="A594" s="3" t="s">
        <v>544</v>
      </c>
      <c r="B594" s="3" t="s">
        <v>544</v>
      </c>
      <c r="C594" s="4" t="s">
        <v>15</v>
      </c>
      <c r="D594" s="3" t="s">
        <v>22</v>
      </c>
      <c r="E594" s="5" t="n">
        <v>50</v>
      </c>
      <c r="F594" s="3" t="s">
        <v>22</v>
      </c>
      <c r="G594" s="5" t="n">
        <v>50</v>
      </c>
      <c r="H594" s="5" t="n">
        <f aca="false">ROUND(ABS(G594)-ABS(E594),2)</f>
        <v>0</v>
      </c>
      <c r="I594" s="3" t="s">
        <v>558</v>
      </c>
      <c r="J594" s="3"/>
      <c r="K594" s="3"/>
      <c r="L594" s="3" t="s">
        <v>551</v>
      </c>
      <c r="M594" s="3" t="s">
        <v>561</v>
      </c>
      <c r="N594" s="3"/>
    </row>
    <row r="595" customFormat="false" ht="34.5" hidden="false" customHeight="true" outlineLevel="0" collapsed="false">
      <c r="A595" s="3" t="s">
        <v>544</v>
      </c>
      <c r="B595" s="3" t="s">
        <v>544</v>
      </c>
      <c r="C595" s="4" t="s">
        <v>15</v>
      </c>
      <c r="D595" s="3" t="s">
        <v>24</v>
      </c>
      <c r="E595" s="5" t="n">
        <v>1457.07</v>
      </c>
      <c r="F595" s="3" t="s">
        <v>24</v>
      </c>
      <c r="G595" s="5" t="n">
        <v>1457.07</v>
      </c>
      <c r="H595" s="5" t="n">
        <f aca="false">ROUND(ABS(G595)-ABS(E595),2)</f>
        <v>0</v>
      </c>
      <c r="I595" s="3" t="s">
        <v>558</v>
      </c>
      <c r="J595" s="3"/>
      <c r="K595" s="3"/>
      <c r="L595" s="3" t="s">
        <v>548</v>
      </c>
      <c r="M595" s="3" t="s">
        <v>562</v>
      </c>
      <c r="N595" s="3"/>
    </row>
    <row r="596" customFormat="false" ht="34.5" hidden="false" customHeight="true" outlineLevel="0" collapsed="false">
      <c r="A596" s="3" t="s">
        <v>544</v>
      </c>
      <c r="B596" s="3" t="s">
        <v>544</v>
      </c>
      <c r="C596" s="6" t="s">
        <v>28</v>
      </c>
      <c r="D596" s="3" t="s">
        <v>25</v>
      </c>
      <c r="E596" s="5" t="n">
        <v>40.97</v>
      </c>
      <c r="F596" s="3" t="s">
        <v>25</v>
      </c>
      <c r="G596" s="5" t="n">
        <v>0</v>
      </c>
      <c r="H596" s="5" t="n">
        <f aca="false">ROUND(ABS(G596)-ABS(E596),2)</f>
        <v>-40.97</v>
      </c>
      <c r="I596" s="3" t="s">
        <v>558</v>
      </c>
      <c r="J596" s="3" t="s">
        <v>45</v>
      </c>
      <c r="K596" s="3"/>
      <c r="L596" s="3" t="s">
        <v>554</v>
      </c>
      <c r="M596" s="3"/>
      <c r="N596" s="3" t="s">
        <v>62</v>
      </c>
    </row>
    <row r="597" customFormat="false" ht="23.25" hidden="false" customHeight="true" outlineLevel="0" collapsed="false">
      <c r="A597" s="3" t="s">
        <v>544</v>
      </c>
      <c r="B597" s="3" t="s">
        <v>544</v>
      </c>
      <c r="C597" s="7" t="s">
        <v>37</v>
      </c>
      <c r="D597" s="3" t="s">
        <v>29</v>
      </c>
      <c r="E597" s="5" t="s">
        <v>37</v>
      </c>
      <c r="F597" s="3" t="s">
        <v>29</v>
      </c>
      <c r="G597" s="5" t="s">
        <v>37</v>
      </c>
      <c r="H597" s="5" t="s">
        <v>37</v>
      </c>
      <c r="I597" s="3" t="s">
        <v>558</v>
      </c>
      <c r="J597" s="3" t="s">
        <v>38</v>
      </c>
      <c r="K597" s="3"/>
      <c r="L597" s="3" t="s">
        <v>39</v>
      </c>
      <c r="M597" s="3"/>
      <c r="N597" s="3" t="s">
        <v>40</v>
      </c>
    </row>
    <row r="598" customFormat="false" ht="15" hidden="false" customHeight="true" outlineLevel="0" collapsed="false">
      <c r="A598" s="3" t="s">
        <v>544</v>
      </c>
      <c r="B598" s="3" t="s">
        <v>544</v>
      </c>
      <c r="C598" s="7" t="s">
        <v>37</v>
      </c>
      <c r="D598" s="3" t="s">
        <v>25</v>
      </c>
      <c r="E598" s="5" t="n">
        <v>37.63</v>
      </c>
      <c r="F598" s="3" t="s">
        <v>25</v>
      </c>
      <c r="G598" s="5" t="s">
        <v>37</v>
      </c>
      <c r="H598" s="5" t="s">
        <v>37</v>
      </c>
      <c r="I598" s="3" t="s">
        <v>70</v>
      </c>
      <c r="J598" s="3" t="s">
        <v>71</v>
      </c>
      <c r="K598" s="3"/>
      <c r="L598" s="3" t="s">
        <v>72</v>
      </c>
      <c r="M598" s="3"/>
      <c r="N598" s="3" t="s">
        <v>73</v>
      </c>
    </row>
    <row r="599" customFormat="false" ht="75.75" hidden="false" customHeight="true" outlineLevel="0" collapsed="false">
      <c r="A599" s="8" t="s">
        <v>544</v>
      </c>
      <c r="B599" s="8" t="s">
        <v>544</v>
      </c>
      <c r="C599" s="8" t="s">
        <v>28</v>
      </c>
      <c r="D599" s="8" t="s">
        <v>47</v>
      </c>
      <c r="E599" s="8" t="s">
        <v>563</v>
      </c>
      <c r="F599" s="8" t="s">
        <v>47</v>
      </c>
      <c r="G599" s="8" t="s">
        <v>18</v>
      </c>
      <c r="H599" s="8"/>
      <c r="I599" s="8" t="s">
        <v>49</v>
      </c>
      <c r="J599" s="8" t="s">
        <v>18</v>
      </c>
      <c r="K599" s="8"/>
      <c r="L599" s="8" t="s">
        <v>545</v>
      </c>
      <c r="M599" s="8" t="s">
        <v>546</v>
      </c>
      <c r="N599" s="8" t="s">
        <v>50</v>
      </c>
    </row>
    <row r="600" customFormat="false" ht="23.25" hidden="false" customHeight="true" outlineLevel="0" collapsed="false">
      <c r="A600" s="3" t="s">
        <v>564</v>
      </c>
      <c r="B600" s="3" t="s">
        <v>564</v>
      </c>
      <c r="C600" s="4" t="s">
        <v>15</v>
      </c>
      <c r="D600" s="3" t="s">
        <v>16</v>
      </c>
      <c r="E600" s="5" t="n">
        <v>5400</v>
      </c>
      <c r="F600" s="3" t="s">
        <v>16</v>
      </c>
      <c r="G600" s="5" t="n">
        <v>5400</v>
      </c>
      <c r="H600" s="5" t="n">
        <f aca="false">ROUND(ABS(G600)-ABS(E600),2)</f>
        <v>0</v>
      </c>
      <c r="I600" s="3" t="s">
        <v>17</v>
      </c>
      <c r="J600" s="3" t="s">
        <v>214</v>
      </c>
      <c r="K600" s="3"/>
      <c r="L600" s="3" t="s">
        <v>565</v>
      </c>
      <c r="M600" s="3" t="s">
        <v>566</v>
      </c>
      <c r="N600" s="3"/>
    </row>
    <row r="601" customFormat="false" ht="23.25" hidden="false" customHeight="true" outlineLevel="0" collapsed="false">
      <c r="A601" s="3" t="s">
        <v>564</v>
      </c>
      <c r="B601" s="3" t="s">
        <v>564</v>
      </c>
      <c r="C601" s="4" t="s">
        <v>15</v>
      </c>
      <c r="D601" s="3" t="s">
        <v>21</v>
      </c>
      <c r="E601" s="5" t="n">
        <v>987.85</v>
      </c>
      <c r="F601" s="3" t="s">
        <v>21</v>
      </c>
      <c r="G601" s="5" t="n">
        <v>987.85</v>
      </c>
      <c r="H601" s="5" t="n">
        <f aca="false">ROUND(ABS(G601)-ABS(E601),2)</f>
        <v>0</v>
      </c>
      <c r="I601" s="3" t="s">
        <v>17</v>
      </c>
      <c r="J601" s="3" t="s">
        <v>214</v>
      </c>
      <c r="K601" s="3"/>
      <c r="L601" s="3" t="s">
        <v>565</v>
      </c>
      <c r="M601" s="3" t="s">
        <v>566</v>
      </c>
      <c r="N601" s="3"/>
    </row>
    <row r="602" customFormat="false" ht="23.25" hidden="false" customHeight="true" outlineLevel="0" collapsed="false">
      <c r="A602" s="3" t="s">
        <v>564</v>
      </c>
      <c r="B602" s="3" t="s">
        <v>564</v>
      </c>
      <c r="C602" s="4" t="s">
        <v>15</v>
      </c>
      <c r="D602" s="3" t="s">
        <v>22</v>
      </c>
      <c r="E602" s="5" t="n">
        <v>0</v>
      </c>
      <c r="F602" s="3" t="s">
        <v>22</v>
      </c>
      <c r="G602" s="5" t="n">
        <v>0</v>
      </c>
      <c r="H602" s="5" t="n">
        <f aca="false">ROUND(ABS(G602)-ABS(E602),2)</f>
        <v>0</v>
      </c>
      <c r="I602" s="3" t="s">
        <v>17</v>
      </c>
      <c r="J602" s="3" t="s">
        <v>214</v>
      </c>
      <c r="K602" s="3"/>
      <c r="L602" s="3" t="s">
        <v>565</v>
      </c>
      <c r="M602" s="3" t="s">
        <v>566</v>
      </c>
      <c r="N602" s="3" t="s">
        <v>23</v>
      </c>
    </row>
    <row r="603" customFormat="false" ht="23.25" hidden="false" customHeight="true" outlineLevel="0" collapsed="false">
      <c r="A603" s="3" t="s">
        <v>564</v>
      </c>
      <c r="B603" s="3" t="s">
        <v>564</v>
      </c>
      <c r="C603" s="4" t="s">
        <v>15</v>
      </c>
      <c r="D603" s="3" t="s">
        <v>24</v>
      </c>
      <c r="E603" s="5" t="n">
        <v>1990.98</v>
      </c>
      <c r="F603" s="3" t="s">
        <v>24</v>
      </c>
      <c r="G603" s="5" t="n">
        <v>1990.98</v>
      </c>
      <c r="H603" s="5" t="n">
        <f aca="false">ROUND(ABS(G603)-ABS(E603),2)</f>
        <v>0</v>
      </c>
      <c r="I603" s="3" t="s">
        <v>17</v>
      </c>
      <c r="J603" s="3" t="s">
        <v>214</v>
      </c>
      <c r="K603" s="3"/>
      <c r="L603" s="3" t="s">
        <v>565</v>
      </c>
      <c r="M603" s="3" t="s">
        <v>566</v>
      </c>
      <c r="N603" s="3"/>
    </row>
    <row r="604" customFormat="false" ht="23.25" hidden="false" customHeight="true" outlineLevel="0" collapsed="false">
      <c r="A604" s="3" t="s">
        <v>564</v>
      </c>
      <c r="B604" s="3" t="s">
        <v>564</v>
      </c>
      <c r="C604" s="4" t="s">
        <v>15</v>
      </c>
      <c r="D604" s="3" t="s">
        <v>25</v>
      </c>
      <c r="E604" s="5" t="n">
        <v>51.36</v>
      </c>
      <c r="F604" s="3" t="s">
        <v>25</v>
      </c>
      <c r="G604" s="5" t="n">
        <v>51.36</v>
      </c>
      <c r="H604" s="5" t="n">
        <f aca="false">ROUND(ABS(G604)-ABS(E604),2)</f>
        <v>0</v>
      </c>
      <c r="I604" s="3" t="s">
        <v>17</v>
      </c>
      <c r="J604" s="3" t="s">
        <v>214</v>
      </c>
      <c r="K604" s="3"/>
      <c r="L604" s="3" t="s">
        <v>565</v>
      </c>
      <c r="M604" s="3" t="s">
        <v>566</v>
      </c>
      <c r="N604" s="3"/>
    </row>
    <row r="605" customFormat="false" ht="23.25" hidden="false" customHeight="true" outlineLevel="0" collapsed="false">
      <c r="A605" s="3" t="s">
        <v>564</v>
      </c>
      <c r="B605" s="3" t="s">
        <v>564</v>
      </c>
      <c r="C605" s="4" t="s">
        <v>15</v>
      </c>
      <c r="D605" s="3" t="s">
        <v>26</v>
      </c>
      <c r="E605" s="5" t="n">
        <v>0</v>
      </c>
      <c r="F605" s="3" t="s">
        <v>26</v>
      </c>
      <c r="G605" s="5" t="n">
        <v>0</v>
      </c>
      <c r="H605" s="5" t="n">
        <f aca="false">ROUND(ABS(G605)-ABS(E605),2)</f>
        <v>0</v>
      </c>
      <c r="I605" s="3" t="s">
        <v>17</v>
      </c>
      <c r="J605" s="3" t="s">
        <v>214</v>
      </c>
      <c r="K605" s="3"/>
      <c r="L605" s="3" t="s">
        <v>565</v>
      </c>
      <c r="M605" s="3" t="s">
        <v>566</v>
      </c>
      <c r="N605" s="3" t="s">
        <v>27</v>
      </c>
    </row>
    <row r="606" customFormat="false" ht="23.25" hidden="false" customHeight="true" outlineLevel="0" collapsed="false">
      <c r="A606" s="3" t="s">
        <v>564</v>
      </c>
      <c r="B606" s="3" t="s">
        <v>564</v>
      </c>
      <c r="C606" s="6" t="s">
        <v>28</v>
      </c>
      <c r="D606" s="3" t="s">
        <v>29</v>
      </c>
      <c r="E606" s="5" t="n">
        <v>2336.81</v>
      </c>
      <c r="F606" s="3" t="s">
        <v>29</v>
      </c>
      <c r="G606" s="5" t="n">
        <v>378.83</v>
      </c>
      <c r="H606" s="5" t="n">
        <f aca="false">ROUND(ABS(G606)-ABS(E606),2)</f>
        <v>-1957.98</v>
      </c>
      <c r="I606" s="3" t="s">
        <v>17</v>
      </c>
      <c r="J606" s="3" t="s">
        <v>214</v>
      </c>
      <c r="K606" s="3"/>
      <c r="L606" s="3" t="s">
        <v>565</v>
      </c>
      <c r="M606" s="3" t="s">
        <v>566</v>
      </c>
      <c r="N606" s="3" t="s">
        <v>30</v>
      </c>
    </row>
    <row r="607" customFormat="false" ht="34.5" hidden="false" customHeight="true" outlineLevel="0" collapsed="false">
      <c r="A607" s="3" t="s">
        <v>564</v>
      </c>
      <c r="B607" s="3" t="s">
        <v>564</v>
      </c>
      <c r="C607" s="4" t="s">
        <v>15</v>
      </c>
      <c r="D607" s="3" t="s">
        <v>16</v>
      </c>
      <c r="E607" s="5" t="n">
        <v>3200</v>
      </c>
      <c r="F607" s="3" t="s">
        <v>16</v>
      </c>
      <c r="G607" s="5" t="n">
        <v>3200</v>
      </c>
      <c r="H607" s="5" t="n">
        <f aca="false">ROUND(ABS(G607)-ABS(E607),2)</f>
        <v>0</v>
      </c>
      <c r="I607" s="3" t="s">
        <v>567</v>
      </c>
      <c r="J607" s="3"/>
      <c r="K607" s="3"/>
      <c r="L607" s="3" t="s">
        <v>568</v>
      </c>
      <c r="M607" s="3" t="s">
        <v>569</v>
      </c>
      <c r="N607" s="3"/>
    </row>
    <row r="608" customFormat="false" ht="34.5" hidden="false" customHeight="true" outlineLevel="0" collapsed="false">
      <c r="A608" s="3" t="s">
        <v>564</v>
      </c>
      <c r="B608" s="3" t="s">
        <v>564</v>
      </c>
      <c r="C608" s="4" t="s">
        <v>15</v>
      </c>
      <c r="D608" s="3" t="s">
        <v>21</v>
      </c>
      <c r="E608" s="5" t="n">
        <v>485.87</v>
      </c>
      <c r="F608" s="3" t="s">
        <v>21</v>
      </c>
      <c r="G608" s="5" t="n">
        <v>485.87</v>
      </c>
      <c r="H608" s="5" t="n">
        <f aca="false">ROUND(ABS(G608)-ABS(E608),2)</f>
        <v>0</v>
      </c>
      <c r="I608" s="3" t="s">
        <v>567</v>
      </c>
      <c r="J608" s="3"/>
      <c r="K608" s="3"/>
      <c r="L608" s="3" t="s">
        <v>568</v>
      </c>
      <c r="M608" s="3" t="s">
        <v>570</v>
      </c>
      <c r="N608" s="3"/>
    </row>
    <row r="609" customFormat="false" ht="34.5" hidden="false" customHeight="true" outlineLevel="0" collapsed="false">
      <c r="A609" s="3" t="s">
        <v>564</v>
      </c>
      <c r="B609" s="3" t="s">
        <v>564</v>
      </c>
      <c r="C609" s="4" t="s">
        <v>15</v>
      </c>
      <c r="D609" s="3" t="s">
        <v>24</v>
      </c>
      <c r="E609" s="5" t="n">
        <v>1410.98</v>
      </c>
      <c r="F609" s="3" t="s">
        <v>24</v>
      </c>
      <c r="G609" s="5" t="n">
        <v>1410.98</v>
      </c>
      <c r="H609" s="5" t="n">
        <f aca="false">ROUND(ABS(G609)-ABS(E609),2)</f>
        <v>0</v>
      </c>
      <c r="I609" s="3" t="s">
        <v>567</v>
      </c>
      <c r="J609" s="3"/>
      <c r="K609" s="3"/>
      <c r="L609" s="3" t="s">
        <v>568</v>
      </c>
      <c r="M609" s="3" t="s">
        <v>571</v>
      </c>
      <c r="N609" s="3"/>
    </row>
    <row r="610" customFormat="false" ht="34.5" hidden="false" customHeight="true" outlineLevel="0" collapsed="false">
      <c r="A610" s="3" t="s">
        <v>564</v>
      </c>
      <c r="B610" s="3" t="s">
        <v>564</v>
      </c>
      <c r="C610" s="4" t="s">
        <v>15</v>
      </c>
      <c r="D610" s="3" t="s">
        <v>25</v>
      </c>
      <c r="E610" s="5" t="n">
        <v>51.36</v>
      </c>
      <c r="F610" s="3" t="s">
        <v>25</v>
      </c>
      <c r="G610" s="5" t="n">
        <v>51.36</v>
      </c>
      <c r="H610" s="5" t="n">
        <f aca="false">ROUND(ABS(G610)-ABS(E610),2)</f>
        <v>0</v>
      </c>
      <c r="I610" s="3" t="s">
        <v>567</v>
      </c>
      <c r="J610" s="3"/>
      <c r="K610" s="3"/>
      <c r="L610" s="3" t="s">
        <v>572</v>
      </c>
      <c r="M610" s="3" t="s">
        <v>573</v>
      </c>
      <c r="N610" s="3"/>
    </row>
    <row r="611" customFormat="false" ht="23.25" hidden="false" customHeight="true" outlineLevel="0" collapsed="false">
      <c r="A611" s="3" t="s">
        <v>564</v>
      </c>
      <c r="B611" s="3" t="s">
        <v>564</v>
      </c>
      <c r="C611" s="7" t="s">
        <v>37</v>
      </c>
      <c r="D611" s="3" t="s">
        <v>29</v>
      </c>
      <c r="E611" s="5" t="s">
        <v>37</v>
      </c>
      <c r="F611" s="3" t="s">
        <v>29</v>
      </c>
      <c r="G611" s="5" t="s">
        <v>37</v>
      </c>
      <c r="H611" s="5" t="s">
        <v>37</v>
      </c>
      <c r="I611" s="3" t="s">
        <v>567</v>
      </c>
      <c r="J611" s="3" t="s">
        <v>38</v>
      </c>
      <c r="K611" s="3"/>
      <c r="L611" s="3" t="s">
        <v>39</v>
      </c>
      <c r="M611" s="3"/>
      <c r="N611" s="3" t="s">
        <v>40</v>
      </c>
    </row>
    <row r="612" customFormat="false" ht="34.5" hidden="false" customHeight="true" outlineLevel="0" collapsed="false">
      <c r="A612" s="3" t="s">
        <v>564</v>
      </c>
      <c r="B612" s="3" t="s">
        <v>564</v>
      </c>
      <c r="C612" s="4" t="s">
        <v>15</v>
      </c>
      <c r="D612" s="3" t="s">
        <v>16</v>
      </c>
      <c r="E612" s="5" t="n">
        <v>2200</v>
      </c>
      <c r="F612" s="3" t="s">
        <v>16</v>
      </c>
      <c r="G612" s="5" t="n">
        <v>2200</v>
      </c>
      <c r="H612" s="5" t="n">
        <f aca="false">ROUND(ABS(G612)-ABS(E612),2)</f>
        <v>0</v>
      </c>
      <c r="I612" s="3" t="s">
        <v>574</v>
      </c>
      <c r="J612" s="3"/>
      <c r="K612" s="3"/>
      <c r="L612" s="3" t="s">
        <v>568</v>
      </c>
      <c r="M612" s="3" t="s">
        <v>575</v>
      </c>
      <c r="N612" s="3"/>
    </row>
    <row r="613" customFormat="false" ht="34.5" hidden="false" customHeight="true" outlineLevel="0" collapsed="false">
      <c r="A613" s="3" t="s">
        <v>564</v>
      </c>
      <c r="B613" s="3" t="s">
        <v>564</v>
      </c>
      <c r="C613" s="4" t="s">
        <v>15</v>
      </c>
      <c r="D613" s="3" t="s">
        <v>21</v>
      </c>
      <c r="E613" s="5" t="n">
        <v>501.98</v>
      </c>
      <c r="F613" s="3" t="s">
        <v>21</v>
      </c>
      <c r="G613" s="5" t="n">
        <v>501.98</v>
      </c>
      <c r="H613" s="5" t="n">
        <f aca="false">ROUND(ABS(G613)-ABS(E613),2)</f>
        <v>0</v>
      </c>
      <c r="I613" s="3" t="s">
        <v>574</v>
      </c>
      <c r="J613" s="3"/>
      <c r="K613" s="3"/>
      <c r="L613" s="3" t="s">
        <v>568</v>
      </c>
      <c r="M613" s="3" t="s">
        <v>576</v>
      </c>
      <c r="N613" s="3"/>
    </row>
    <row r="614" customFormat="false" ht="34.5" hidden="false" customHeight="true" outlineLevel="0" collapsed="false">
      <c r="A614" s="3" t="s">
        <v>564</v>
      </c>
      <c r="B614" s="3" t="s">
        <v>564</v>
      </c>
      <c r="C614" s="4" t="s">
        <v>15</v>
      </c>
      <c r="D614" s="3" t="s">
        <v>24</v>
      </c>
      <c r="E614" s="5" t="n">
        <v>580</v>
      </c>
      <c r="F614" s="3" t="s">
        <v>24</v>
      </c>
      <c r="G614" s="5" t="n">
        <v>580</v>
      </c>
      <c r="H614" s="5" t="n">
        <f aca="false">ROUND(ABS(G614)-ABS(E614),2)</f>
        <v>0</v>
      </c>
      <c r="I614" s="3" t="s">
        <v>574</v>
      </c>
      <c r="J614" s="3"/>
      <c r="K614" s="3"/>
      <c r="L614" s="3" t="s">
        <v>568</v>
      </c>
      <c r="M614" s="3" t="s">
        <v>577</v>
      </c>
      <c r="N614" s="3"/>
    </row>
    <row r="615" customFormat="false" ht="23.25" hidden="false" customHeight="true" outlineLevel="0" collapsed="false">
      <c r="A615" s="3" t="s">
        <v>564</v>
      </c>
      <c r="B615" s="3" t="s">
        <v>564</v>
      </c>
      <c r="C615" s="7" t="s">
        <v>37</v>
      </c>
      <c r="D615" s="3" t="s">
        <v>29</v>
      </c>
      <c r="E615" s="5" t="s">
        <v>37</v>
      </c>
      <c r="F615" s="3" t="s">
        <v>29</v>
      </c>
      <c r="G615" s="5" t="s">
        <v>37</v>
      </c>
      <c r="H615" s="5" t="s">
        <v>37</v>
      </c>
      <c r="I615" s="3" t="s">
        <v>574</v>
      </c>
      <c r="J615" s="3" t="s">
        <v>38</v>
      </c>
      <c r="K615" s="3"/>
      <c r="L615" s="3" t="s">
        <v>39</v>
      </c>
      <c r="M615" s="3"/>
      <c r="N615" s="3" t="s">
        <v>40</v>
      </c>
    </row>
    <row r="616" customFormat="false" ht="75.75" hidden="false" customHeight="true" outlineLevel="0" collapsed="false">
      <c r="A616" s="8" t="s">
        <v>564</v>
      </c>
      <c r="B616" s="8" t="s">
        <v>564</v>
      </c>
      <c r="C616" s="8" t="s">
        <v>28</v>
      </c>
      <c r="D616" s="8" t="s">
        <v>47</v>
      </c>
      <c r="E616" s="8" t="s">
        <v>578</v>
      </c>
      <c r="F616" s="8" t="s">
        <v>47</v>
      </c>
      <c r="G616" s="8" t="s">
        <v>214</v>
      </c>
      <c r="H616" s="8"/>
      <c r="I616" s="8" t="s">
        <v>49</v>
      </c>
      <c r="J616" s="8" t="s">
        <v>214</v>
      </c>
      <c r="K616" s="8"/>
      <c r="L616" s="8" t="s">
        <v>565</v>
      </c>
      <c r="M616" s="8" t="s">
        <v>566</v>
      </c>
      <c r="N616" s="8" t="s">
        <v>50</v>
      </c>
    </row>
    <row r="617" customFormat="false" ht="23.25" hidden="false" customHeight="true" outlineLevel="0" collapsed="false">
      <c r="A617" s="3" t="s">
        <v>579</v>
      </c>
      <c r="B617" s="3" t="s">
        <v>579</v>
      </c>
      <c r="C617" s="4" t="s">
        <v>15</v>
      </c>
      <c r="D617" s="3" t="s">
        <v>16</v>
      </c>
      <c r="E617" s="5" t="n">
        <v>9300</v>
      </c>
      <c r="F617" s="3" t="s">
        <v>16</v>
      </c>
      <c r="G617" s="5" t="n">
        <v>9300</v>
      </c>
      <c r="H617" s="5" t="n">
        <f aca="false">ROUND(ABS(G617)-ABS(E617),2)</f>
        <v>0</v>
      </c>
      <c r="I617" s="3" t="s">
        <v>17</v>
      </c>
      <c r="J617" s="3" t="s">
        <v>214</v>
      </c>
      <c r="K617" s="3"/>
      <c r="L617" s="3" t="s">
        <v>580</v>
      </c>
      <c r="M617" s="3" t="s">
        <v>581</v>
      </c>
      <c r="N617" s="3"/>
    </row>
    <row r="618" customFormat="false" ht="23.25" hidden="false" customHeight="true" outlineLevel="0" collapsed="false">
      <c r="A618" s="3" t="s">
        <v>579</v>
      </c>
      <c r="B618" s="3" t="s">
        <v>579</v>
      </c>
      <c r="C618" s="4" t="s">
        <v>15</v>
      </c>
      <c r="D618" s="3" t="s">
        <v>21</v>
      </c>
      <c r="E618" s="5" t="n">
        <v>1902.65</v>
      </c>
      <c r="F618" s="3" t="s">
        <v>21</v>
      </c>
      <c r="G618" s="5" t="n">
        <v>1902.65</v>
      </c>
      <c r="H618" s="5" t="n">
        <f aca="false">ROUND(ABS(G618)-ABS(E618),2)</f>
        <v>0</v>
      </c>
      <c r="I618" s="3" t="s">
        <v>17</v>
      </c>
      <c r="J618" s="3" t="s">
        <v>214</v>
      </c>
      <c r="K618" s="3"/>
      <c r="L618" s="3" t="s">
        <v>580</v>
      </c>
      <c r="M618" s="3" t="s">
        <v>581</v>
      </c>
      <c r="N618" s="3"/>
    </row>
    <row r="619" customFormat="false" ht="23.25" hidden="false" customHeight="true" outlineLevel="0" collapsed="false">
      <c r="A619" s="3" t="s">
        <v>579</v>
      </c>
      <c r="B619" s="3" t="s">
        <v>579</v>
      </c>
      <c r="C619" s="4" t="s">
        <v>15</v>
      </c>
      <c r="D619" s="3" t="s">
        <v>22</v>
      </c>
      <c r="E619" s="5" t="n">
        <v>631.26</v>
      </c>
      <c r="F619" s="3" t="s">
        <v>22</v>
      </c>
      <c r="G619" s="5" t="n">
        <v>631.26</v>
      </c>
      <c r="H619" s="5" t="n">
        <f aca="false">ROUND(ABS(G619)-ABS(E619),2)</f>
        <v>0</v>
      </c>
      <c r="I619" s="3" t="s">
        <v>17</v>
      </c>
      <c r="J619" s="3" t="s">
        <v>214</v>
      </c>
      <c r="K619" s="3"/>
      <c r="L619" s="3" t="s">
        <v>580</v>
      </c>
      <c r="M619" s="3" t="s">
        <v>581</v>
      </c>
      <c r="N619" s="3" t="s">
        <v>23</v>
      </c>
    </row>
    <row r="620" customFormat="false" ht="23.25" hidden="false" customHeight="true" outlineLevel="0" collapsed="false">
      <c r="A620" s="3" t="s">
        <v>579</v>
      </c>
      <c r="B620" s="3" t="s">
        <v>579</v>
      </c>
      <c r="C620" s="4" t="s">
        <v>15</v>
      </c>
      <c r="D620" s="3" t="s">
        <v>24</v>
      </c>
      <c r="E620" s="5" t="n">
        <v>4184.35</v>
      </c>
      <c r="F620" s="3" t="s">
        <v>24</v>
      </c>
      <c r="G620" s="5" t="n">
        <v>4184.35</v>
      </c>
      <c r="H620" s="5" t="n">
        <f aca="false">ROUND(ABS(G620)-ABS(E620),2)</f>
        <v>0</v>
      </c>
      <c r="I620" s="3" t="s">
        <v>17</v>
      </c>
      <c r="J620" s="3" t="s">
        <v>214</v>
      </c>
      <c r="K620" s="3"/>
      <c r="L620" s="3" t="s">
        <v>580</v>
      </c>
      <c r="M620" s="3" t="s">
        <v>581</v>
      </c>
      <c r="N620" s="3"/>
    </row>
    <row r="621" customFormat="false" ht="23.25" hidden="false" customHeight="true" outlineLevel="0" collapsed="false">
      <c r="A621" s="3" t="s">
        <v>579</v>
      </c>
      <c r="B621" s="3" t="s">
        <v>579</v>
      </c>
      <c r="C621" s="4" t="s">
        <v>15</v>
      </c>
      <c r="D621" s="3" t="s">
        <v>25</v>
      </c>
      <c r="E621" s="5" t="n">
        <v>658.32</v>
      </c>
      <c r="F621" s="3" t="s">
        <v>25</v>
      </c>
      <c r="G621" s="5" t="n">
        <v>658.32</v>
      </c>
      <c r="H621" s="5" t="n">
        <f aca="false">ROUND(ABS(G621)-ABS(E621),2)</f>
        <v>0</v>
      </c>
      <c r="I621" s="3" t="s">
        <v>17</v>
      </c>
      <c r="J621" s="3" t="s">
        <v>214</v>
      </c>
      <c r="K621" s="3"/>
      <c r="L621" s="3" t="s">
        <v>580</v>
      </c>
      <c r="M621" s="3" t="s">
        <v>581</v>
      </c>
      <c r="N621" s="3"/>
    </row>
    <row r="622" customFormat="false" ht="23.25" hidden="false" customHeight="true" outlineLevel="0" collapsed="false">
      <c r="A622" s="3" t="s">
        <v>579</v>
      </c>
      <c r="B622" s="3" t="s">
        <v>579</v>
      </c>
      <c r="C622" s="4" t="s">
        <v>15</v>
      </c>
      <c r="D622" s="3" t="s">
        <v>26</v>
      </c>
      <c r="E622" s="5" t="n">
        <v>0</v>
      </c>
      <c r="F622" s="3" t="s">
        <v>26</v>
      </c>
      <c r="G622" s="5" t="n">
        <v>0</v>
      </c>
      <c r="H622" s="5" t="n">
        <f aca="false">ROUND(ABS(G622)-ABS(E622),2)</f>
        <v>0</v>
      </c>
      <c r="I622" s="3" t="s">
        <v>17</v>
      </c>
      <c r="J622" s="3" t="s">
        <v>214</v>
      </c>
      <c r="K622" s="3"/>
      <c r="L622" s="3" t="s">
        <v>580</v>
      </c>
      <c r="M622" s="3" t="s">
        <v>581</v>
      </c>
      <c r="N622" s="3" t="s">
        <v>27</v>
      </c>
    </row>
    <row r="623" customFormat="false" ht="23.25" hidden="false" customHeight="true" outlineLevel="0" collapsed="false">
      <c r="A623" s="3" t="s">
        <v>579</v>
      </c>
      <c r="B623" s="3" t="s">
        <v>579</v>
      </c>
      <c r="C623" s="6" t="s">
        <v>28</v>
      </c>
      <c r="D623" s="3" t="s">
        <v>29</v>
      </c>
      <c r="E623" s="5" t="n">
        <v>2315.18</v>
      </c>
      <c r="F623" s="3" t="s">
        <v>29</v>
      </c>
      <c r="G623" s="5" t="n">
        <v>-2260.93</v>
      </c>
      <c r="H623" s="5" t="n">
        <f aca="false">ROUND(ABS(G623)-ABS(E623),2)</f>
        <v>-54.25</v>
      </c>
      <c r="I623" s="3" t="s">
        <v>17</v>
      </c>
      <c r="J623" s="3" t="s">
        <v>214</v>
      </c>
      <c r="K623" s="3"/>
      <c r="L623" s="3" t="s">
        <v>580</v>
      </c>
      <c r="M623" s="3" t="s">
        <v>581</v>
      </c>
      <c r="N623" s="3" t="s">
        <v>30</v>
      </c>
    </row>
    <row r="624" customFormat="false" ht="34.5" hidden="false" customHeight="true" outlineLevel="0" collapsed="false">
      <c r="A624" s="3" t="s">
        <v>579</v>
      </c>
      <c r="B624" s="3" t="s">
        <v>579</v>
      </c>
      <c r="C624" s="4" t="s">
        <v>15</v>
      </c>
      <c r="D624" s="3" t="s">
        <v>16</v>
      </c>
      <c r="E624" s="5" t="n">
        <v>4900</v>
      </c>
      <c r="F624" s="3" t="s">
        <v>16</v>
      </c>
      <c r="G624" s="5" t="n">
        <v>4900</v>
      </c>
      <c r="H624" s="5" t="n">
        <f aca="false">ROUND(ABS(G624)-ABS(E624),2)</f>
        <v>0</v>
      </c>
      <c r="I624" s="3" t="s">
        <v>582</v>
      </c>
      <c r="J624" s="3"/>
      <c r="K624" s="3"/>
      <c r="L624" s="3" t="s">
        <v>583</v>
      </c>
      <c r="M624" s="3" t="s">
        <v>584</v>
      </c>
      <c r="N624" s="3"/>
    </row>
    <row r="625" customFormat="false" ht="34.5" hidden="false" customHeight="true" outlineLevel="0" collapsed="false">
      <c r="A625" s="3" t="s">
        <v>579</v>
      </c>
      <c r="B625" s="3" t="s">
        <v>579</v>
      </c>
      <c r="C625" s="4" t="s">
        <v>15</v>
      </c>
      <c r="D625" s="3" t="s">
        <v>21</v>
      </c>
      <c r="E625" s="5" t="n">
        <v>945.1</v>
      </c>
      <c r="F625" s="3" t="s">
        <v>21</v>
      </c>
      <c r="G625" s="5" t="n">
        <v>945.1</v>
      </c>
      <c r="H625" s="5" t="n">
        <f aca="false">ROUND(ABS(G625)-ABS(E625),2)</f>
        <v>0</v>
      </c>
      <c r="I625" s="3" t="s">
        <v>582</v>
      </c>
      <c r="J625" s="3"/>
      <c r="K625" s="3"/>
      <c r="L625" s="3" t="s">
        <v>583</v>
      </c>
      <c r="M625" s="3" t="s">
        <v>585</v>
      </c>
      <c r="N625" s="3"/>
    </row>
    <row r="626" customFormat="false" ht="34.5" hidden="false" customHeight="true" outlineLevel="0" collapsed="false">
      <c r="A626" s="3" t="s">
        <v>579</v>
      </c>
      <c r="B626" s="3" t="s">
        <v>579</v>
      </c>
      <c r="C626" s="4" t="s">
        <v>15</v>
      </c>
      <c r="D626" s="3" t="s">
        <v>22</v>
      </c>
      <c r="E626" s="5" t="n">
        <v>50</v>
      </c>
      <c r="F626" s="3" t="s">
        <v>22</v>
      </c>
      <c r="G626" s="5" t="n">
        <v>50</v>
      </c>
      <c r="H626" s="5" t="n">
        <f aca="false">ROUND(ABS(G626)-ABS(E626),2)</f>
        <v>0</v>
      </c>
      <c r="I626" s="3" t="s">
        <v>582</v>
      </c>
      <c r="J626" s="3"/>
      <c r="K626" s="3"/>
      <c r="L626" s="3" t="s">
        <v>586</v>
      </c>
      <c r="M626" s="3" t="s">
        <v>587</v>
      </c>
      <c r="N626" s="3"/>
    </row>
    <row r="627" customFormat="false" ht="34.5" hidden="false" customHeight="true" outlineLevel="0" collapsed="false">
      <c r="A627" s="3" t="s">
        <v>579</v>
      </c>
      <c r="B627" s="3" t="s">
        <v>579</v>
      </c>
      <c r="C627" s="4" t="s">
        <v>15</v>
      </c>
      <c r="D627" s="3" t="s">
        <v>24</v>
      </c>
      <c r="E627" s="5" t="n">
        <v>2754.35</v>
      </c>
      <c r="F627" s="3" t="s">
        <v>24</v>
      </c>
      <c r="G627" s="5" t="n">
        <v>2754.35</v>
      </c>
      <c r="H627" s="5" t="n">
        <f aca="false">ROUND(ABS(G627)-ABS(E627),2)</f>
        <v>0</v>
      </c>
      <c r="I627" s="3" t="s">
        <v>582</v>
      </c>
      <c r="J627" s="3"/>
      <c r="K627" s="3"/>
      <c r="L627" s="3" t="s">
        <v>583</v>
      </c>
      <c r="M627" s="3" t="s">
        <v>588</v>
      </c>
      <c r="N627" s="3"/>
    </row>
    <row r="628" customFormat="false" ht="34.5" hidden="false" customHeight="true" outlineLevel="0" collapsed="false">
      <c r="A628" s="3" t="s">
        <v>579</v>
      </c>
      <c r="B628" s="3" t="s">
        <v>579</v>
      </c>
      <c r="C628" s="7" t="s">
        <v>37</v>
      </c>
      <c r="D628" s="3" t="s">
        <v>25</v>
      </c>
      <c r="E628" s="5" t="n">
        <v>127.06</v>
      </c>
      <c r="F628" s="3" t="s">
        <v>25</v>
      </c>
      <c r="G628" s="5" t="n">
        <v>658.32</v>
      </c>
      <c r="H628" s="5" t="n">
        <f aca="false">ROUND(ABS(G628)-ABS(E628),2)</f>
        <v>531.26</v>
      </c>
      <c r="I628" s="3" t="s">
        <v>582</v>
      </c>
      <c r="J628" s="3"/>
      <c r="K628" s="3"/>
      <c r="L628" s="3" t="s">
        <v>589</v>
      </c>
      <c r="M628" s="3" t="s">
        <v>590</v>
      </c>
      <c r="N628" s="3" t="s">
        <v>62</v>
      </c>
    </row>
    <row r="629" customFormat="false" ht="23.25" hidden="false" customHeight="true" outlineLevel="0" collapsed="false">
      <c r="A629" s="3" t="s">
        <v>579</v>
      </c>
      <c r="B629" s="3" t="s">
        <v>579</v>
      </c>
      <c r="C629" s="7" t="s">
        <v>37</v>
      </c>
      <c r="D629" s="3" t="s">
        <v>29</v>
      </c>
      <c r="E629" s="5" t="s">
        <v>37</v>
      </c>
      <c r="F629" s="3" t="s">
        <v>29</v>
      </c>
      <c r="G629" s="5" t="s">
        <v>37</v>
      </c>
      <c r="H629" s="5" t="s">
        <v>37</v>
      </c>
      <c r="I629" s="3" t="s">
        <v>582</v>
      </c>
      <c r="J629" s="3" t="s">
        <v>38</v>
      </c>
      <c r="K629" s="3"/>
      <c r="L629" s="3" t="s">
        <v>39</v>
      </c>
      <c r="M629" s="3"/>
      <c r="N629" s="3" t="s">
        <v>40</v>
      </c>
    </row>
    <row r="630" customFormat="false" ht="34.5" hidden="false" customHeight="true" outlineLevel="0" collapsed="false">
      <c r="A630" s="3" t="s">
        <v>579</v>
      </c>
      <c r="B630" s="3" t="s">
        <v>579</v>
      </c>
      <c r="C630" s="4" t="s">
        <v>15</v>
      </c>
      <c r="D630" s="3" t="s">
        <v>16</v>
      </c>
      <c r="E630" s="5" t="n">
        <v>4400</v>
      </c>
      <c r="F630" s="3" t="s">
        <v>16</v>
      </c>
      <c r="G630" s="5" t="n">
        <v>4400</v>
      </c>
      <c r="H630" s="5" t="n">
        <f aca="false">ROUND(ABS(G630)-ABS(E630),2)</f>
        <v>0</v>
      </c>
      <c r="I630" s="3" t="s">
        <v>591</v>
      </c>
      <c r="J630" s="3"/>
      <c r="K630" s="3"/>
      <c r="L630" s="3" t="s">
        <v>583</v>
      </c>
      <c r="M630" s="3" t="s">
        <v>592</v>
      </c>
      <c r="N630" s="3"/>
    </row>
    <row r="631" customFormat="false" ht="34.5" hidden="false" customHeight="true" outlineLevel="0" collapsed="false">
      <c r="A631" s="3" t="s">
        <v>579</v>
      </c>
      <c r="B631" s="3" t="s">
        <v>579</v>
      </c>
      <c r="C631" s="4" t="s">
        <v>15</v>
      </c>
      <c r="D631" s="3" t="s">
        <v>21</v>
      </c>
      <c r="E631" s="5" t="n">
        <v>957.55</v>
      </c>
      <c r="F631" s="3" t="s">
        <v>21</v>
      </c>
      <c r="G631" s="5" t="n">
        <v>957.55</v>
      </c>
      <c r="H631" s="5" t="n">
        <f aca="false">ROUND(ABS(G631)-ABS(E631),2)</f>
        <v>0</v>
      </c>
      <c r="I631" s="3" t="s">
        <v>591</v>
      </c>
      <c r="J631" s="3"/>
      <c r="K631" s="3"/>
      <c r="L631" s="3" t="s">
        <v>583</v>
      </c>
      <c r="M631" s="3" t="s">
        <v>593</v>
      </c>
      <c r="N631" s="3"/>
    </row>
    <row r="632" customFormat="false" ht="34.5" hidden="false" customHeight="true" outlineLevel="0" collapsed="false">
      <c r="A632" s="3" t="s">
        <v>579</v>
      </c>
      <c r="B632" s="3" t="s">
        <v>579</v>
      </c>
      <c r="C632" s="4" t="s">
        <v>15</v>
      </c>
      <c r="D632" s="3" t="s">
        <v>22</v>
      </c>
      <c r="E632" s="5" t="n">
        <v>581.26</v>
      </c>
      <c r="F632" s="3" t="s">
        <v>22</v>
      </c>
      <c r="G632" s="5" t="n">
        <v>581.26</v>
      </c>
      <c r="H632" s="5" t="n">
        <f aca="false">ROUND(ABS(G632)-ABS(E632),2)</f>
        <v>0</v>
      </c>
      <c r="I632" s="3" t="s">
        <v>591</v>
      </c>
      <c r="J632" s="3"/>
      <c r="K632" s="3"/>
      <c r="L632" s="3" t="s">
        <v>586</v>
      </c>
      <c r="M632" s="3" t="s">
        <v>594</v>
      </c>
      <c r="N632" s="3"/>
    </row>
    <row r="633" customFormat="false" ht="34.5" hidden="false" customHeight="true" outlineLevel="0" collapsed="false">
      <c r="A633" s="3" t="s">
        <v>579</v>
      </c>
      <c r="B633" s="3" t="s">
        <v>579</v>
      </c>
      <c r="C633" s="4" t="s">
        <v>15</v>
      </c>
      <c r="D633" s="3" t="s">
        <v>24</v>
      </c>
      <c r="E633" s="5" t="n">
        <v>1430</v>
      </c>
      <c r="F633" s="3" t="s">
        <v>24</v>
      </c>
      <c r="G633" s="5" t="n">
        <v>1430</v>
      </c>
      <c r="H633" s="5" t="n">
        <f aca="false">ROUND(ABS(G633)-ABS(E633),2)</f>
        <v>0</v>
      </c>
      <c r="I633" s="3" t="s">
        <v>591</v>
      </c>
      <c r="J633" s="3"/>
      <c r="K633" s="3"/>
      <c r="L633" s="3" t="s">
        <v>583</v>
      </c>
      <c r="M633" s="3" t="s">
        <v>595</v>
      </c>
      <c r="N633" s="3"/>
    </row>
    <row r="634" customFormat="false" ht="23.25" hidden="false" customHeight="true" outlineLevel="0" collapsed="false">
      <c r="A634" s="3" t="s">
        <v>579</v>
      </c>
      <c r="B634" s="3" t="s">
        <v>579</v>
      </c>
      <c r="C634" s="7" t="s">
        <v>37</v>
      </c>
      <c r="D634" s="3" t="s">
        <v>29</v>
      </c>
      <c r="E634" s="5" t="s">
        <v>37</v>
      </c>
      <c r="F634" s="3" t="s">
        <v>29</v>
      </c>
      <c r="G634" s="5" t="s">
        <v>37</v>
      </c>
      <c r="H634" s="5" t="s">
        <v>37</v>
      </c>
      <c r="I634" s="3" t="s">
        <v>591</v>
      </c>
      <c r="J634" s="3" t="s">
        <v>38</v>
      </c>
      <c r="K634" s="3"/>
      <c r="L634" s="3" t="s">
        <v>39</v>
      </c>
      <c r="M634" s="3"/>
      <c r="N634" s="3" t="s">
        <v>40</v>
      </c>
    </row>
    <row r="635" customFormat="false" ht="15" hidden="false" customHeight="true" outlineLevel="0" collapsed="false">
      <c r="A635" s="3" t="s">
        <v>579</v>
      </c>
      <c r="B635" s="3" t="s">
        <v>579</v>
      </c>
      <c r="C635" s="7" t="s">
        <v>37</v>
      </c>
      <c r="D635" s="3" t="s">
        <v>25</v>
      </c>
      <c r="E635" s="5" t="n">
        <v>531.26</v>
      </c>
      <c r="F635" s="3" t="s">
        <v>25</v>
      </c>
      <c r="G635" s="5" t="s">
        <v>37</v>
      </c>
      <c r="H635" s="5" t="s">
        <v>37</v>
      </c>
      <c r="I635" s="3" t="s">
        <v>70</v>
      </c>
      <c r="J635" s="3" t="s">
        <v>71</v>
      </c>
      <c r="K635" s="3"/>
      <c r="L635" s="3" t="s">
        <v>72</v>
      </c>
      <c r="M635" s="3"/>
      <c r="N635" s="3" t="s">
        <v>73</v>
      </c>
    </row>
    <row r="636" customFormat="false" ht="75.75" hidden="false" customHeight="true" outlineLevel="0" collapsed="false">
      <c r="A636" s="8" t="s">
        <v>579</v>
      </c>
      <c r="B636" s="8" t="s">
        <v>579</v>
      </c>
      <c r="C636" s="8" t="s">
        <v>28</v>
      </c>
      <c r="D636" s="8" t="s">
        <v>47</v>
      </c>
      <c r="E636" s="8" t="s">
        <v>596</v>
      </c>
      <c r="F636" s="8" t="s">
        <v>47</v>
      </c>
      <c r="G636" s="8" t="s">
        <v>214</v>
      </c>
      <c r="H636" s="8"/>
      <c r="I636" s="8" t="s">
        <v>49</v>
      </c>
      <c r="J636" s="8" t="s">
        <v>214</v>
      </c>
      <c r="K636" s="8"/>
      <c r="L636" s="8" t="s">
        <v>580</v>
      </c>
      <c r="M636" s="8" t="s">
        <v>581</v>
      </c>
      <c r="N636" s="8" t="s">
        <v>50</v>
      </c>
    </row>
    <row r="637" customFormat="false" ht="23.25" hidden="false" customHeight="true" outlineLevel="0" collapsed="false">
      <c r="A637" s="3" t="s">
        <v>597</v>
      </c>
      <c r="B637" s="3" t="s">
        <v>597</v>
      </c>
      <c r="C637" s="4" t="s">
        <v>15</v>
      </c>
      <c r="D637" s="3" t="s">
        <v>16</v>
      </c>
      <c r="E637" s="5" t="n">
        <v>6300</v>
      </c>
      <c r="F637" s="3" t="s">
        <v>16</v>
      </c>
      <c r="G637" s="5" t="n">
        <v>6300</v>
      </c>
      <c r="H637" s="5" t="n">
        <f aca="false">ROUND(ABS(G637)-ABS(E637),2)</f>
        <v>0</v>
      </c>
      <c r="I637" s="3" t="s">
        <v>17</v>
      </c>
      <c r="J637" s="3" t="s">
        <v>214</v>
      </c>
      <c r="K637" s="3"/>
      <c r="L637" s="3" t="s">
        <v>598</v>
      </c>
      <c r="M637" s="3" t="s">
        <v>599</v>
      </c>
      <c r="N637" s="3"/>
    </row>
    <row r="638" customFormat="false" ht="23.25" hidden="false" customHeight="true" outlineLevel="0" collapsed="false">
      <c r="A638" s="3" t="s">
        <v>597</v>
      </c>
      <c r="B638" s="3" t="s">
        <v>597</v>
      </c>
      <c r="C638" s="4" t="s">
        <v>15</v>
      </c>
      <c r="D638" s="3" t="s">
        <v>21</v>
      </c>
      <c r="E638" s="5" t="n">
        <v>1462.1</v>
      </c>
      <c r="F638" s="3" t="s">
        <v>21</v>
      </c>
      <c r="G638" s="5" t="n">
        <v>1462.1</v>
      </c>
      <c r="H638" s="5" t="n">
        <f aca="false">ROUND(ABS(G638)-ABS(E638),2)</f>
        <v>0</v>
      </c>
      <c r="I638" s="3" t="s">
        <v>17</v>
      </c>
      <c r="J638" s="3" t="s">
        <v>214</v>
      </c>
      <c r="K638" s="3"/>
      <c r="L638" s="3" t="s">
        <v>598</v>
      </c>
      <c r="M638" s="3" t="s">
        <v>599</v>
      </c>
      <c r="N638" s="3"/>
    </row>
    <row r="639" customFormat="false" ht="23.25" hidden="false" customHeight="true" outlineLevel="0" collapsed="false">
      <c r="A639" s="3" t="s">
        <v>597</v>
      </c>
      <c r="B639" s="3" t="s">
        <v>597</v>
      </c>
      <c r="C639" s="4" t="s">
        <v>15</v>
      </c>
      <c r="D639" s="3" t="s">
        <v>22</v>
      </c>
      <c r="E639" s="5" t="n">
        <v>230.3</v>
      </c>
      <c r="F639" s="3" t="s">
        <v>22</v>
      </c>
      <c r="G639" s="5" t="n">
        <v>230.3</v>
      </c>
      <c r="H639" s="5" t="n">
        <f aca="false">ROUND(ABS(G639)-ABS(E639),2)</f>
        <v>0</v>
      </c>
      <c r="I639" s="3" t="s">
        <v>17</v>
      </c>
      <c r="J639" s="3" t="s">
        <v>214</v>
      </c>
      <c r="K639" s="3"/>
      <c r="L639" s="3" t="s">
        <v>598</v>
      </c>
      <c r="M639" s="3" t="s">
        <v>599</v>
      </c>
      <c r="N639" s="3" t="s">
        <v>23</v>
      </c>
    </row>
    <row r="640" customFormat="false" ht="23.25" hidden="false" customHeight="true" outlineLevel="0" collapsed="false">
      <c r="A640" s="3" t="s">
        <v>597</v>
      </c>
      <c r="B640" s="3" t="s">
        <v>597</v>
      </c>
      <c r="C640" s="4" t="s">
        <v>15</v>
      </c>
      <c r="D640" s="3" t="s">
        <v>24</v>
      </c>
      <c r="E640" s="5" t="n">
        <v>3383.86</v>
      </c>
      <c r="F640" s="3" t="s">
        <v>24</v>
      </c>
      <c r="G640" s="5" t="n">
        <v>3383.86</v>
      </c>
      <c r="H640" s="5" t="n">
        <f aca="false">ROUND(ABS(G640)-ABS(E640),2)</f>
        <v>0</v>
      </c>
      <c r="I640" s="3" t="s">
        <v>17</v>
      </c>
      <c r="J640" s="3" t="s">
        <v>214</v>
      </c>
      <c r="K640" s="3"/>
      <c r="L640" s="3" t="s">
        <v>598</v>
      </c>
      <c r="M640" s="3" t="s">
        <v>599</v>
      </c>
      <c r="N640" s="3"/>
    </row>
    <row r="641" customFormat="false" ht="23.25" hidden="false" customHeight="true" outlineLevel="0" collapsed="false">
      <c r="A641" s="3" t="s">
        <v>597</v>
      </c>
      <c r="B641" s="3" t="s">
        <v>597</v>
      </c>
      <c r="C641" s="4" t="s">
        <v>15</v>
      </c>
      <c r="D641" s="3" t="s">
        <v>25</v>
      </c>
      <c r="E641" s="5" t="n">
        <v>572.45</v>
      </c>
      <c r="F641" s="3" t="s">
        <v>25</v>
      </c>
      <c r="G641" s="5" t="n">
        <v>572.45</v>
      </c>
      <c r="H641" s="5" t="n">
        <f aca="false">ROUND(ABS(G641)-ABS(E641),2)</f>
        <v>0</v>
      </c>
      <c r="I641" s="3" t="s">
        <v>17</v>
      </c>
      <c r="J641" s="3" t="s">
        <v>214</v>
      </c>
      <c r="K641" s="3"/>
      <c r="L641" s="3" t="s">
        <v>598</v>
      </c>
      <c r="M641" s="3" t="s">
        <v>599</v>
      </c>
      <c r="N641" s="3"/>
    </row>
    <row r="642" customFormat="false" ht="23.25" hidden="false" customHeight="true" outlineLevel="0" collapsed="false">
      <c r="A642" s="3" t="s">
        <v>597</v>
      </c>
      <c r="B642" s="3" t="s">
        <v>597</v>
      </c>
      <c r="C642" s="4" t="s">
        <v>15</v>
      </c>
      <c r="D642" s="3" t="s">
        <v>26</v>
      </c>
      <c r="E642" s="5" t="n">
        <v>0</v>
      </c>
      <c r="F642" s="3" t="s">
        <v>26</v>
      </c>
      <c r="G642" s="5" t="n">
        <v>0</v>
      </c>
      <c r="H642" s="5" t="n">
        <f aca="false">ROUND(ABS(G642)-ABS(E642),2)</f>
        <v>0</v>
      </c>
      <c r="I642" s="3" t="s">
        <v>17</v>
      </c>
      <c r="J642" s="3" t="s">
        <v>214</v>
      </c>
      <c r="K642" s="3"/>
      <c r="L642" s="3" t="s">
        <v>598</v>
      </c>
      <c r="M642" s="3" t="s">
        <v>599</v>
      </c>
      <c r="N642" s="3" t="s">
        <v>27</v>
      </c>
    </row>
    <row r="643" customFormat="false" ht="23.25" hidden="false" customHeight="true" outlineLevel="0" collapsed="false">
      <c r="A643" s="3" t="s">
        <v>597</v>
      </c>
      <c r="B643" s="3" t="s">
        <v>597</v>
      </c>
      <c r="C643" s="6" t="s">
        <v>28</v>
      </c>
      <c r="D643" s="3" t="s">
        <v>29</v>
      </c>
      <c r="E643" s="5" t="n">
        <v>602.09</v>
      </c>
      <c r="F643" s="3" t="s">
        <v>29</v>
      </c>
      <c r="G643" s="5" t="n">
        <v>-2851.42</v>
      </c>
      <c r="H643" s="5" t="n">
        <f aca="false">ROUND(ABS(G643)-ABS(E643),2)</f>
        <v>2249.33</v>
      </c>
      <c r="I643" s="3" t="s">
        <v>17</v>
      </c>
      <c r="J643" s="3" t="s">
        <v>214</v>
      </c>
      <c r="K643" s="3"/>
      <c r="L643" s="3" t="s">
        <v>598</v>
      </c>
      <c r="M643" s="3" t="s">
        <v>599</v>
      </c>
      <c r="N643" s="3" t="s">
        <v>30</v>
      </c>
    </row>
    <row r="644" customFormat="false" ht="34.5" hidden="false" customHeight="true" outlineLevel="0" collapsed="false">
      <c r="A644" s="3" t="s">
        <v>597</v>
      </c>
      <c r="B644" s="3" t="s">
        <v>597</v>
      </c>
      <c r="C644" s="4" t="s">
        <v>15</v>
      </c>
      <c r="D644" s="3" t="s">
        <v>16</v>
      </c>
      <c r="E644" s="5" t="n">
        <v>3000</v>
      </c>
      <c r="F644" s="3" t="s">
        <v>16</v>
      </c>
      <c r="G644" s="5" t="n">
        <v>3000</v>
      </c>
      <c r="H644" s="5" t="n">
        <f aca="false">ROUND(ABS(G644)-ABS(E644),2)</f>
        <v>0</v>
      </c>
      <c r="I644" s="3" t="s">
        <v>600</v>
      </c>
      <c r="J644" s="3"/>
      <c r="K644" s="3"/>
      <c r="L644" s="3" t="s">
        <v>601</v>
      </c>
      <c r="M644" s="3" t="s">
        <v>602</v>
      </c>
      <c r="N644" s="3"/>
    </row>
    <row r="645" customFormat="false" ht="34.5" hidden="false" customHeight="true" outlineLevel="0" collapsed="false">
      <c r="A645" s="3" t="s">
        <v>597</v>
      </c>
      <c r="B645" s="3" t="s">
        <v>597</v>
      </c>
      <c r="C645" s="4" t="s">
        <v>15</v>
      </c>
      <c r="D645" s="3" t="s">
        <v>21</v>
      </c>
      <c r="E645" s="5" t="n">
        <v>698.9</v>
      </c>
      <c r="F645" s="3" t="s">
        <v>21</v>
      </c>
      <c r="G645" s="5" t="n">
        <v>698.9</v>
      </c>
      <c r="H645" s="5" t="n">
        <f aca="false">ROUND(ABS(G645)-ABS(E645),2)</f>
        <v>0</v>
      </c>
      <c r="I645" s="3" t="s">
        <v>600</v>
      </c>
      <c r="J645" s="3"/>
      <c r="K645" s="3"/>
      <c r="L645" s="3" t="s">
        <v>601</v>
      </c>
      <c r="M645" s="3" t="s">
        <v>603</v>
      </c>
      <c r="N645" s="3"/>
    </row>
    <row r="646" customFormat="false" ht="34.5" hidden="false" customHeight="true" outlineLevel="0" collapsed="false">
      <c r="A646" s="3" t="s">
        <v>597</v>
      </c>
      <c r="B646" s="3" t="s">
        <v>597</v>
      </c>
      <c r="C646" s="4" t="s">
        <v>15</v>
      </c>
      <c r="D646" s="3" t="s">
        <v>22</v>
      </c>
      <c r="E646" s="5" t="n">
        <v>80.3</v>
      </c>
      <c r="F646" s="3" t="s">
        <v>22</v>
      </c>
      <c r="G646" s="5" t="n">
        <v>80.3</v>
      </c>
      <c r="H646" s="5" t="n">
        <f aca="false">ROUND(ABS(G646)-ABS(E646),2)</f>
        <v>0</v>
      </c>
      <c r="I646" s="3" t="s">
        <v>600</v>
      </c>
      <c r="J646" s="3"/>
      <c r="K646" s="3"/>
      <c r="L646" s="3" t="s">
        <v>604</v>
      </c>
      <c r="M646" s="3" t="s">
        <v>605</v>
      </c>
      <c r="N646" s="3"/>
    </row>
    <row r="647" customFormat="false" ht="34.5" hidden="false" customHeight="true" outlineLevel="0" collapsed="false">
      <c r="A647" s="3" t="s">
        <v>597</v>
      </c>
      <c r="B647" s="3" t="s">
        <v>597</v>
      </c>
      <c r="C647" s="4" t="s">
        <v>15</v>
      </c>
      <c r="D647" s="3" t="s">
        <v>24</v>
      </c>
      <c r="E647" s="5" t="n">
        <v>1581.61</v>
      </c>
      <c r="F647" s="3" t="s">
        <v>24</v>
      </c>
      <c r="G647" s="5" t="n">
        <v>1581.61</v>
      </c>
      <c r="H647" s="5" t="n">
        <f aca="false">ROUND(ABS(G647)-ABS(E647),2)</f>
        <v>0</v>
      </c>
      <c r="I647" s="3" t="s">
        <v>600</v>
      </c>
      <c r="J647" s="3"/>
      <c r="K647" s="3"/>
      <c r="L647" s="3" t="s">
        <v>601</v>
      </c>
      <c r="M647" s="3" t="s">
        <v>606</v>
      </c>
      <c r="N647" s="3"/>
    </row>
    <row r="648" customFormat="false" ht="34.5" hidden="false" customHeight="true" outlineLevel="0" collapsed="false">
      <c r="A648" s="3" t="s">
        <v>597</v>
      </c>
      <c r="B648" s="3" t="s">
        <v>597</v>
      </c>
      <c r="C648" s="7" t="s">
        <v>37</v>
      </c>
      <c r="D648" s="3" t="s">
        <v>25</v>
      </c>
      <c r="E648" s="5" t="n">
        <v>38.39</v>
      </c>
      <c r="F648" s="3" t="s">
        <v>25</v>
      </c>
      <c r="G648" s="5" t="n">
        <v>572.45</v>
      </c>
      <c r="H648" s="5" t="n">
        <f aca="false">ROUND(ABS(G648)-ABS(E648),2)</f>
        <v>534.06</v>
      </c>
      <c r="I648" s="3" t="s">
        <v>600</v>
      </c>
      <c r="J648" s="3"/>
      <c r="K648" s="3"/>
      <c r="L648" s="3" t="s">
        <v>607</v>
      </c>
      <c r="M648" s="3" t="s">
        <v>608</v>
      </c>
      <c r="N648" s="3" t="s">
        <v>62</v>
      </c>
    </row>
    <row r="649" customFormat="false" ht="23.25" hidden="false" customHeight="true" outlineLevel="0" collapsed="false">
      <c r="A649" s="3" t="s">
        <v>597</v>
      </c>
      <c r="B649" s="3" t="s">
        <v>597</v>
      </c>
      <c r="C649" s="7" t="s">
        <v>37</v>
      </c>
      <c r="D649" s="3" t="s">
        <v>29</v>
      </c>
      <c r="E649" s="5" t="s">
        <v>37</v>
      </c>
      <c r="F649" s="3" t="s">
        <v>29</v>
      </c>
      <c r="G649" s="5" t="s">
        <v>37</v>
      </c>
      <c r="H649" s="5" t="s">
        <v>37</v>
      </c>
      <c r="I649" s="3" t="s">
        <v>600</v>
      </c>
      <c r="J649" s="3" t="s">
        <v>38</v>
      </c>
      <c r="K649" s="3"/>
      <c r="L649" s="3" t="s">
        <v>39</v>
      </c>
      <c r="M649" s="3"/>
      <c r="N649" s="3" t="s">
        <v>40</v>
      </c>
    </row>
    <row r="650" customFormat="false" ht="34.5" hidden="false" customHeight="true" outlineLevel="0" collapsed="false">
      <c r="A650" s="3" t="s">
        <v>597</v>
      </c>
      <c r="B650" s="3" t="s">
        <v>597</v>
      </c>
      <c r="C650" s="4" t="s">
        <v>15</v>
      </c>
      <c r="D650" s="3" t="s">
        <v>16</v>
      </c>
      <c r="E650" s="5" t="n">
        <v>2300</v>
      </c>
      <c r="F650" s="3" t="s">
        <v>16</v>
      </c>
      <c r="G650" s="5" t="n">
        <v>2300</v>
      </c>
      <c r="H650" s="5" t="n">
        <f aca="false">ROUND(ABS(G650)-ABS(E650),2)</f>
        <v>0</v>
      </c>
      <c r="I650" s="3" t="s">
        <v>609</v>
      </c>
      <c r="J650" s="3"/>
      <c r="K650" s="3"/>
      <c r="L650" s="3" t="s">
        <v>601</v>
      </c>
      <c r="M650" s="3" t="s">
        <v>610</v>
      </c>
      <c r="N650" s="3"/>
    </row>
    <row r="651" customFormat="false" ht="34.5" hidden="false" customHeight="true" outlineLevel="0" collapsed="false">
      <c r="A651" s="3" t="s">
        <v>597</v>
      </c>
      <c r="B651" s="3" t="s">
        <v>597</v>
      </c>
      <c r="C651" s="4" t="s">
        <v>15</v>
      </c>
      <c r="D651" s="3" t="s">
        <v>21</v>
      </c>
      <c r="E651" s="5" t="n">
        <v>533.05</v>
      </c>
      <c r="F651" s="3" t="s">
        <v>21</v>
      </c>
      <c r="G651" s="5" t="n">
        <v>533.05</v>
      </c>
      <c r="H651" s="5" t="n">
        <f aca="false">ROUND(ABS(G651)-ABS(E651),2)</f>
        <v>0</v>
      </c>
      <c r="I651" s="3" t="s">
        <v>609</v>
      </c>
      <c r="J651" s="3"/>
      <c r="K651" s="3"/>
      <c r="L651" s="3" t="s">
        <v>601</v>
      </c>
      <c r="M651" s="3" t="s">
        <v>611</v>
      </c>
      <c r="N651" s="3"/>
    </row>
    <row r="652" customFormat="false" ht="34.5" hidden="false" customHeight="true" outlineLevel="0" collapsed="false">
      <c r="A652" s="3" t="s">
        <v>597</v>
      </c>
      <c r="B652" s="3" t="s">
        <v>597</v>
      </c>
      <c r="C652" s="4" t="s">
        <v>15</v>
      </c>
      <c r="D652" s="3" t="s">
        <v>22</v>
      </c>
      <c r="E652" s="5" t="n">
        <v>50</v>
      </c>
      <c r="F652" s="3" t="s">
        <v>22</v>
      </c>
      <c r="G652" s="5" t="n">
        <v>50</v>
      </c>
      <c r="H652" s="5" t="n">
        <f aca="false">ROUND(ABS(G652)-ABS(E652),2)</f>
        <v>0</v>
      </c>
      <c r="I652" s="3" t="s">
        <v>609</v>
      </c>
      <c r="J652" s="3"/>
      <c r="K652" s="3"/>
      <c r="L652" s="3" t="s">
        <v>604</v>
      </c>
      <c r="M652" s="3" t="s">
        <v>612</v>
      </c>
      <c r="N652" s="3"/>
    </row>
    <row r="653" customFormat="false" ht="34.5" hidden="false" customHeight="true" outlineLevel="0" collapsed="false">
      <c r="A653" s="3" t="s">
        <v>597</v>
      </c>
      <c r="B653" s="3" t="s">
        <v>597</v>
      </c>
      <c r="C653" s="4" t="s">
        <v>15</v>
      </c>
      <c r="D653" s="3" t="s">
        <v>24</v>
      </c>
      <c r="E653" s="5" t="n">
        <v>1412.25</v>
      </c>
      <c r="F653" s="3" t="s">
        <v>24</v>
      </c>
      <c r="G653" s="5" t="n">
        <v>1412.25</v>
      </c>
      <c r="H653" s="5" t="n">
        <f aca="false">ROUND(ABS(G653)-ABS(E653),2)</f>
        <v>0</v>
      </c>
      <c r="I653" s="3" t="s">
        <v>609</v>
      </c>
      <c r="J653" s="3"/>
      <c r="K653" s="3"/>
      <c r="L653" s="3" t="s">
        <v>601</v>
      </c>
      <c r="M653" s="3" t="s">
        <v>613</v>
      </c>
      <c r="N653" s="3"/>
    </row>
    <row r="654" customFormat="false" ht="23.25" hidden="false" customHeight="true" outlineLevel="0" collapsed="false">
      <c r="A654" s="3" t="s">
        <v>597</v>
      </c>
      <c r="B654" s="3" t="s">
        <v>597</v>
      </c>
      <c r="C654" s="7" t="s">
        <v>37</v>
      </c>
      <c r="D654" s="3" t="s">
        <v>29</v>
      </c>
      <c r="E654" s="5" t="s">
        <v>37</v>
      </c>
      <c r="F654" s="3" t="s">
        <v>29</v>
      </c>
      <c r="G654" s="5" t="s">
        <v>37</v>
      </c>
      <c r="H654" s="5" t="s">
        <v>37</v>
      </c>
      <c r="I654" s="3" t="s">
        <v>609</v>
      </c>
      <c r="J654" s="3" t="s">
        <v>38</v>
      </c>
      <c r="K654" s="3"/>
      <c r="L654" s="3" t="s">
        <v>39</v>
      </c>
      <c r="M654" s="3"/>
      <c r="N654" s="3" t="s">
        <v>40</v>
      </c>
    </row>
    <row r="655" customFormat="false" ht="34.5" hidden="false" customHeight="true" outlineLevel="0" collapsed="false">
      <c r="A655" s="3" t="s">
        <v>597</v>
      </c>
      <c r="B655" s="3" t="s">
        <v>597</v>
      </c>
      <c r="C655" s="4" t="s">
        <v>15</v>
      </c>
      <c r="D655" s="3" t="s">
        <v>16</v>
      </c>
      <c r="E655" s="5" t="n">
        <v>1000</v>
      </c>
      <c r="F655" s="3" t="s">
        <v>16</v>
      </c>
      <c r="G655" s="5" t="n">
        <v>1000</v>
      </c>
      <c r="H655" s="5" t="n">
        <f aca="false">ROUND(ABS(G655)-ABS(E655),2)</f>
        <v>0</v>
      </c>
      <c r="I655" s="3" t="s">
        <v>614</v>
      </c>
      <c r="J655" s="3"/>
      <c r="K655" s="3"/>
      <c r="L655" s="3" t="s">
        <v>601</v>
      </c>
      <c r="M655" s="3" t="s">
        <v>615</v>
      </c>
      <c r="N655" s="3"/>
    </row>
    <row r="656" customFormat="false" ht="34.5" hidden="false" customHeight="true" outlineLevel="0" collapsed="false">
      <c r="A656" s="3" t="s">
        <v>597</v>
      </c>
      <c r="B656" s="3" t="s">
        <v>597</v>
      </c>
      <c r="C656" s="4" t="s">
        <v>15</v>
      </c>
      <c r="D656" s="3" t="s">
        <v>21</v>
      </c>
      <c r="E656" s="5" t="n">
        <v>230.15</v>
      </c>
      <c r="F656" s="3" t="s">
        <v>21</v>
      </c>
      <c r="G656" s="5" t="n">
        <v>230.15</v>
      </c>
      <c r="H656" s="5" t="n">
        <f aca="false">ROUND(ABS(G656)-ABS(E656),2)</f>
        <v>0</v>
      </c>
      <c r="I656" s="3" t="s">
        <v>614</v>
      </c>
      <c r="J656" s="3"/>
      <c r="K656" s="3"/>
      <c r="L656" s="3" t="s">
        <v>601</v>
      </c>
      <c r="M656" s="3" t="s">
        <v>616</v>
      </c>
      <c r="N656" s="3"/>
    </row>
    <row r="657" customFormat="false" ht="34.5" hidden="false" customHeight="true" outlineLevel="0" collapsed="false">
      <c r="A657" s="3" t="s">
        <v>597</v>
      </c>
      <c r="B657" s="3" t="s">
        <v>597</v>
      </c>
      <c r="C657" s="4" t="s">
        <v>15</v>
      </c>
      <c r="D657" s="3" t="s">
        <v>22</v>
      </c>
      <c r="E657" s="5" t="n">
        <v>100</v>
      </c>
      <c r="F657" s="3" t="s">
        <v>22</v>
      </c>
      <c r="G657" s="5" t="n">
        <v>100</v>
      </c>
      <c r="H657" s="5" t="n">
        <f aca="false">ROUND(ABS(G657)-ABS(E657),2)</f>
        <v>0</v>
      </c>
      <c r="I657" s="3" t="s">
        <v>614</v>
      </c>
      <c r="J657" s="3"/>
      <c r="K657" s="3"/>
      <c r="L657" s="3" t="s">
        <v>604</v>
      </c>
      <c r="M657" s="3" t="s">
        <v>617</v>
      </c>
      <c r="N657" s="3"/>
    </row>
    <row r="658" customFormat="false" ht="34.5" hidden="false" customHeight="true" outlineLevel="0" collapsed="false">
      <c r="A658" s="3" t="s">
        <v>597</v>
      </c>
      <c r="B658" s="3" t="s">
        <v>597</v>
      </c>
      <c r="C658" s="4" t="s">
        <v>15</v>
      </c>
      <c r="D658" s="3" t="s">
        <v>24</v>
      </c>
      <c r="E658" s="5" t="n">
        <v>390</v>
      </c>
      <c r="F658" s="3" t="s">
        <v>24</v>
      </c>
      <c r="G658" s="5" t="n">
        <v>390</v>
      </c>
      <c r="H658" s="5" t="n">
        <f aca="false">ROUND(ABS(G658)-ABS(E658),2)</f>
        <v>0</v>
      </c>
      <c r="I658" s="3" t="s">
        <v>614</v>
      </c>
      <c r="J658" s="3"/>
      <c r="K658" s="3"/>
      <c r="L658" s="3" t="s">
        <v>601</v>
      </c>
      <c r="M658" s="3" t="s">
        <v>618</v>
      </c>
      <c r="N658" s="3"/>
    </row>
    <row r="659" customFormat="false" ht="23.25" hidden="false" customHeight="true" outlineLevel="0" collapsed="false">
      <c r="A659" s="3" t="s">
        <v>597</v>
      </c>
      <c r="B659" s="3" t="s">
        <v>597</v>
      </c>
      <c r="C659" s="7" t="s">
        <v>37</v>
      </c>
      <c r="D659" s="3" t="s">
        <v>29</v>
      </c>
      <c r="E659" s="5" t="s">
        <v>37</v>
      </c>
      <c r="F659" s="3" t="s">
        <v>29</v>
      </c>
      <c r="G659" s="5" t="s">
        <v>37</v>
      </c>
      <c r="H659" s="5" t="s">
        <v>37</v>
      </c>
      <c r="I659" s="3" t="s">
        <v>614</v>
      </c>
      <c r="J659" s="3" t="s">
        <v>38</v>
      </c>
      <c r="K659" s="3"/>
      <c r="L659" s="3" t="s">
        <v>39</v>
      </c>
      <c r="M659" s="3"/>
      <c r="N659" s="3" t="s">
        <v>40</v>
      </c>
    </row>
    <row r="660" customFormat="false" ht="15" hidden="false" customHeight="true" outlineLevel="0" collapsed="false">
      <c r="A660" s="3" t="s">
        <v>597</v>
      </c>
      <c r="B660" s="3" t="s">
        <v>597</v>
      </c>
      <c r="C660" s="7" t="s">
        <v>37</v>
      </c>
      <c r="D660" s="3" t="s">
        <v>25</v>
      </c>
      <c r="E660" s="5" t="n">
        <v>534.06</v>
      </c>
      <c r="F660" s="3" t="s">
        <v>25</v>
      </c>
      <c r="G660" s="5" t="s">
        <v>37</v>
      </c>
      <c r="H660" s="5" t="s">
        <v>37</v>
      </c>
      <c r="I660" s="3" t="s">
        <v>70</v>
      </c>
      <c r="J660" s="3" t="s">
        <v>71</v>
      </c>
      <c r="K660" s="3"/>
      <c r="L660" s="3" t="s">
        <v>72</v>
      </c>
      <c r="M660" s="3"/>
      <c r="N660" s="3" t="s">
        <v>73</v>
      </c>
    </row>
    <row r="661" customFormat="false" ht="75.75" hidden="false" customHeight="true" outlineLevel="0" collapsed="false">
      <c r="A661" s="8" t="s">
        <v>597</v>
      </c>
      <c r="B661" s="8" t="s">
        <v>597</v>
      </c>
      <c r="C661" s="8" t="s">
        <v>28</v>
      </c>
      <c r="D661" s="8" t="s">
        <v>47</v>
      </c>
      <c r="E661" s="8" t="s">
        <v>619</v>
      </c>
      <c r="F661" s="8" t="s">
        <v>47</v>
      </c>
      <c r="G661" s="8" t="s">
        <v>214</v>
      </c>
      <c r="H661" s="8"/>
      <c r="I661" s="8" t="s">
        <v>49</v>
      </c>
      <c r="J661" s="8" t="s">
        <v>214</v>
      </c>
      <c r="K661" s="8"/>
      <c r="L661" s="8" t="s">
        <v>598</v>
      </c>
      <c r="M661" s="8" t="s">
        <v>599</v>
      </c>
      <c r="N661" s="8" t="s">
        <v>50</v>
      </c>
    </row>
    <row r="662" customFormat="false" ht="23.25" hidden="false" customHeight="true" outlineLevel="0" collapsed="false">
      <c r="A662" s="3" t="s">
        <v>620</v>
      </c>
      <c r="B662" s="3" t="s">
        <v>620</v>
      </c>
      <c r="C662" s="4" t="s">
        <v>15</v>
      </c>
      <c r="D662" s="3" t="s">
        <v>16</v>
      </c>
      <c r="E662" s="5" t="n">
        <v>9200</v>
      </c>
      <c r="F662" s="3" t="s">
        <v>16</v>
      </c>
      <c r="G662" s="5" t="n">
        <v>9200</v>
      </c>
      <c r="H662" s="5" t="n">
        <f aca="false">ROUND(ABS(G662)-ABS(E662),2)</f>
        <v>0</v>
      </c>
      <c r="I662" s="3" t="s">
        <v>17</v>
      </c>
      <c r="J662" s="3" t="s">
        <v>214</v>
      </c>
      <c r="K662" s="3"/>
      <c r="L662" s="3" t="s">
        <v>621</v>
      </c>
      <c r="M662" s="3" t="s">
        <v>622</v>
      </c>
      <c r="N662" s="3"/>
    </row>
    <row r="663" customFormat="false" ht="23.25" hidden="false" customHeight="true" outlineLevel="0" collapsed="false">
      <c r="A663" s="3" t="s">
        <v>620</v>
      </c>
      <c r="B663" s="3" t="s">
        <v>620</v>
      </c>
      <c r="C663" s="4" t="s">
        <v>15</v>
      </c>
      <c r="D663" s="3" t="s">
        <v>21</v>
      </c>
      <c r="E663" s="5" t="n">
        <v>1508.27</v>
      </c>
      <c r="F663" s="3" t="s">
        <v>21</v>
      </c>
      <c r="G663" s="5" t="n">
        <v>1508.27</v>
      </c>
      <c r="H663" s="5" t="n">
        <f aca="false">ROUND(ABS(G663)-ABS(E663),2)</f>
        <v>0</v>
      </c>
      <c r="I663" s="3" t="s">
        <v>17</v>
      </c>
      <c r="J663" s="3" t="s">
        <v>214</v>
      </c>
      <c r="K663" s="3"/>
      <c r="L663" s="3" t="s">
        <v>621</v>
      </c>
      <c r="M663" s="3" t="s">
        <v>622</v>
      </c>
      <c r="N663" s="3"/>
    </row>
    <row r="664" customFormat="false" ht="23.25" hidden="false" customHeight="true" outlineLevel="0" collapsed="false">
      <c r="A664" s="3" t="s">
        <v>620</v>
      </c>
      <c r="B664" s="3" t="s">
        <v>620</v>
      </c>
      <c r="C664" s="4" t="s">
        <v>15</v>
      </c>
      <c r="D664" s="3" t="s">
        <v>22</v>
      </c>
      <c r="E664" s="5" t="n">
        <v>85.75</v>
      </c>
      <c r="F664" s="3" t="s">
        <v>22</v>
      </c>
      <c r="G664" s="5" t="n">
        <v>85.75</v>
      </c>
      <c r="H664" s="5" t="n">
        <f aca="false">ROUND(ABS(G664)-ABS(E664),2)</f>
        <v>0</v>
      </c>
      <c r="I664" s="3" t="s">
        <v>17</v>
      </c>
      <c r="J664" s="3" t="s">
        <v>214</v>
      </c>
      <c r="K664" s="3"/>
      <c r="L664" s="3" t="s">
        <v>621</v>
      </c>
      <c r="M664" s="3" t="s">
        <v>622</v>
      </c>
      <c r="N664" s="3" t="s">
        <v>23</v>
      </c>
    </row>
    <row r="665" customFormat="false" ht="23.25" hidden="false" customHeight="true" outlineLevel="0" collapsed="false">
      <c r="A665" s="3" t="s">
        <v>620</v>
      </c>
      <c r="B665" s="3" t="s">
        <v>620</v>
      </c>
      <c r="C665" s="4" t="s">
        <v>15</v>
      </c>
      <c r="D665" s="3" t="s">
        <v>24</v>
      </c>
      <c r="E665" s="5" t="n">
        <v>3336.81</v>
      </c>
      <c r="F665" s="3" t="s">
        <v>24</v>
      </c>
      <c r="G665" s="5" t="n">
        <v>3336.81</v>
      </c>
      <c r="H665" s="5" t="n">
        <f aca="false">ROUND(ABS(G665)-ABS(E665),2)</f>
        <v>0</v>
      </c>
      <c r="I665" s="3" t="s">
        <v>17</v>
      </c>
      <c r="J665" s="3" t="s">
        <v>214</v>
      </c>
      <c r="K665" s="3"/>
      <c r="L665" s="3" t="s">
        <v>621</v>
      </c>
      <c r="M665" s="3" t="s">
        <v>622</v>
      </c>
      <c r="N665" s="3"/>
    </row>
    <row r="666" customFormat="false" ht="23.25" hidden="false" customHeight="true" outlineLevel="0" collapsed="false">
      <c r="A666" s="3" t="s">
        <v>620</v>
      </c>
      <c r="B666" s="3" t="s">
        <v>620</v>
      </c>
      <c r="C666" s="4" t="s">
        <v>15</v>
      </c>
      <c r="D666" s="3" t="s">
        <v>25</v>
      </c>
      <c r="E666" s="5" t="n">
        <v>119.97</v>
      </c>
      <c r="F666" s="3" t="s">
        <v>25</v>
      </c>
      <c r="G666" s="5" t="n">
        <v>119.97</v>
      </c>
      <c r="H666" s="5" t="n">
        <f aca="false">ROUND(ABS(G666)-ABS(E666),2)</f>
        <v>0</v>
      </c>
      <c r="I666" s="3" t="s">
        <v>17</v>
      </c>
      <c r="J666" s="3" t="s">
        <v>214</v>
      </c>
      <c r="K666" s="3"/>
      <c r="L666" s="3" t="s">
        <v>621</v>
      </c>
      <c r="M666" s="3" t="s">
        <v>622</v>
      </c>
      <c r="N666" s="3"/>
    </row>
    <row r="667" customFormat="false" ht="23.25" hidden="false" customHeight="true" outlineLevel="0" collapsed="false">
      <c r="A667" s="3" t="s">
        <v>620</v>
      </c>
      <c r="B667" s="3" t="s">
        <v>620</v>
      </c>
      <c r="C667" s="4" t="s">
        <v>15</v>
      </c>
      <c r="D667" s="3" t="s">
        <v>26</v>
      </c>
      <c r="E667" s="5" t="n">
        <v>0</v>
      </c>
      <c r="F667" s="3" t="s">
        <v>26</v>
      </c>
      <c r="G667" s="5" t="n">
        <v>0</v>
      </c>
      <c r="H667" s="5" t="n">
        <f aca="false">ROUND(ABS(G667)-ABS(E667),2)</f>
        <v>0</v>
      </c>
      <c r="I667" s="3" t="s">
        <v>17</v>
      </c>
      <c r="J667" s="3" t="s">
        <v>214</v>
      </c>
      <c r="K667" s="3"/>
      <c r="L667" s="3" t="s">
        <v>621</v>
      </c>
      <c r="M667" s="3" t="s">
        <v>622</v>
      </c>
      <c r="N667" s="3" t="s">
        <v>27</v>
      </c>
    </row>
    <row r="668" customFormat="false" ht="23.25" hidden="false" customHeight="true" outlineLevel="0" collapsed="false">
      <c r="A668" s="3" t="s">
        <v>620</v>
      </c>
      <c r="B668" s="3" t="s">
        <v>620</v>
      </c>
      <c r="C668" s="6" t="s">
        <v>28</v>
      </c>
      <c r="D668" s="3" t="s">
        <v>29</v>
      </c>
      <c r="E668" s="5" t="n">
        <v>4085.95</v>
      </c>
      <c r="F668" s="3" t="s">
        <v>29</v>
      </c>
      <c r="G668" s="5" t="n">
        <v>728.17</v>
      </c>
      <c r="H668" s="5" t="n">
        <f aca="false">ROUND(ABS(G668)-ABS(E668),2)</f>
        <v>-3357.78</v>
      </c>
      <c r="I668" s="3" t="s">
        <v>17</v>
      </c>
      <c r="J668" s="3" t="s">
        <v>214</v>
      </c>
      <c r="K668" s="3"/>
      <c r="L668" s="3" t="s">
        <v>621</v>
      </c>
      <c r="M668" s="3" t="s">
        <v>622</v>
      </c>
      <c r="N668" s="3" t="s">
        <v>30</v>
      </c>
    </row>
    <row r="669" customFormat="false" ht="34.5" hidden="false" customHeight="true" outlineLevel="0" collapsed="false">
      <c r="A669" s="3" t="s">
        <v>620</v>
      </c>
      <c r="B669" s="3" t="s">
        <v>620</v>
      </c>
      <c r="C669" s="4" t="s">
        <v>15</v>
      </c>
      <c r="D669" s="3" t="s">
        <v>16</v>
      </c>
      <c r="E669" s="5" t="n">
        <v>5900</v>
      </c>
      <c r="F669" s="3" t="s">
        <v>16</v>
      </c>
      <c r="G669" s="5" t="n">
        <v>5900</v>
      </c>
      <c r="H669" s="5" t="n">
        <f aca="false">ROUND(ABS(G669)-ABS(E669),2)</f>
        <v>0</v>
      </c>
      <c r="I669" s="3" t="s">
        <v>623</v>
      </c>
      <c r="J669" s="3"/>
      <c r="K669" s="3"/>
      <c r="L669" s="3" t="s">
        <v>624</v>
      </c>
      <c r="M669" s="3" t="s">
        <v>625</v>
      </c>
      <c r="N669" s="3"/>
    </row>
    <row r="670" customFormat="false" ht="34.5" hidden="false" customHeight="true" outlineLevel="0" collapsed="false">
      <c r="A670" s="3" t="s">
        <v>620</v>
      </c>
      <c r="B670" s="3" t="s">
        <v>620</v>
      </c>
      <c r="C670" s="4" t="s">
        <v>15</v>
      </c>
      <c r="D670" s="3" t="s">
        <v>21</v>
      </c>
      <c r="E670" s="5" t="n">
        <v>761.85</v>
      </c>
      <c r="F670" s="3" t="s">
        <v>21</v>
      </c>
      <c r="G670" s="5" t="n">
        <v>761.85</v>
      </c>
      <c r="H670" s="5" t="n">
        <f aca="false">ROUND(ABS(G670)-ABS(E670),2)</f>
        <v>0</v>
      </c>
      <c r="I670" s="3" t="s">
        <v>623</v>
      </c>
      <c r="J670" s="3"/>
      <c r="K670" s="3"/>
      <c r="L670" s="3" t="s">
        <v>624</v>
      </c>
      <c r="M670" s="3" t="s">
        <v>626</v>
      </c>
      <c r="N670" s="3"/>
    </row>
    <row r="671" customFormat="false" ht="34.5" hidden="false" customHeight="true" outlineLevel="0" collapsed="false">
      <c r="A671" s="3" t="s">
        <v>620</v>
      </c>
      <c r="B671" s="3" t="s">
        <v>620</v>
      </c>
      <c r="C671" s="4" t="s">
        <v>15</v>
      </c>
      <c r="D671" s="3" t="s">
        <v>22</v>
      </c>
      <c r="E671" s="5" t="n">
        <v>70.5</v>
      </c>
      <c r="F671" s="3" t="s">
        <v>22</v>
      </c>
      <c r="G671" s="5" t="n">
        <v>70.5</v>
      </c>
      <c r="H671" s="5" t="n">
        <f aca="false">ROUND(ABS(G671)-ABS(E671),2)</f>
        <v>0</v>
      </c>
      <c r="I671" s="3" t="s">
        <v>623</v>
      </c>
      <c r="J671" s="3"/>
      <c r="K671" s="3"/>
      <c r="L671" s="3" t="s">
        <v>627</v>
      </c>
      <c r="M671" s="3" t="s">
        <v>628</v>
      </c>
      <c r="N671" s="3"/>
    </row>
    <row r="672" customFormat="false" ht="34.5" hidden="false" customHeight="true" outlineLevel="0" collapsed="false">
      <c r="A672" s="3" t="s">
        <v>620</v>
      </c>
      <c r="B672" s="3" t="s">
        <v>620</v>
      </c>
      <c r="C672" s="4" t="s">
        <v>15</v>
      </c>
      <c r="D672" s="3" t="s">
        <v>24</v>
      </c>
      <c r="E672" s="5" t="n">
        <v>1186.78</v>
      </c>
      <c r="F672" s="3" t="s">
        <v>24</v>
      </c>
      <c r="G672" s="5" t="n">
        <v>1186.78</v>
      </c>
      <c r="H672" s="5" t="n">
        <f aca="false">ROUND(ABS(G672)-ABS(E672),2)</f>
        <v>0</v>
      </c>
      <c r="I672" s="3" t="s">
        <v>623</v>
      </c>
      <c r="J672" s="3"/>
      <c r="K672" s="3"/>
      <c r="L672" s="3" t="s">
        <v>624</v>
      </c>
      <c r="M672" s="3" t="s">
        <v>629</v>
      </c>
      <c r="N672" s="3"/>
    </row>
    <row r="673" customFormat="false" ht="34.5" hidden="false" customHeight="true" outlineLevel="0" collapsed="false">
      <c r="A673" s="3" t="s">
        <v>620</v>
      </c>
      <c r="B673" s="3" t="s">
        <v>620</v>
      </c>
      <c r="C673" s="7" t="s">
        <v>37</v>
      </c>
      <c r="D673" s="3" t="s">
        <v>25</v>
      </c>
      <c r="E673" s="5" t="n">
        <v>34.25</v>
      </c>
      <c r="F673" s="3" t="s">
        <v>25</v>
      </c>
      <c r="G673" s="5" t="n">
        <v>54.75</v>
      </c>
      <c r="H673" s="5" t="n">
        <f aca="false">ROUND(ABS(G673)-ABS(E673),2)</f>
        <v>20.5</v>
      </c>
      <c r="I673" s="3" t="s">
        <v>623</v>
      </c>
      <c r="J673" s="3"/>
      <c r="K673" s="3"/>
      <c r="L673" s="3" t="s">
        <v>630</v>
      </c>
      <c r="M673" s="3" t="s">
        <v>631</v>
      </c>
      <c r="N673" s="3" t="s">
        <v>62</v>
      </c>
    </row>
    <row r="674" customFormat="false" ht="23.25" hidden="false" customHeight="true" outlineLevel="0" collapsed="false">
      <c r="A674" s="3" t="s">
        <v>620</v>
      </c>
      <c r="B674" s="3" t="s">
        <v>620</v>
      </c>
      <c r="C674" s="7" t="s">
        <v>37</v>
      </c>
      <c r="D674" s="3" t="s">
        <v>29</v>
      </c>
      <c r="E674" s="5" t="s">
        <v>37</v>
      </c>
      <c r="F674" s="3" t="s">
        <v>29</v>
      </c>
      <c r="G674" s="5" t="s">
        <v>37</v>
      </c>
      <c r="H674" s="5" t="s">
        <v>37</v>
      </c>
      <c r="I674" s="3" t="s">
        <v>623</v>
      </c>
      <c r="J674" s="3" t="s">
        <v>38</v>
      </c>
      <c r="K674" s="3"/>
      <c r="L674" s="3" t="s">
        <v>39</v>
      </c>
      <c r="M674" s="3"/>
      <c r="N674" s="3" t="s">
        <v>40</v>
      </c>
    </row>
    <row r="675" customFormat="false" ht="34.5" hidden="false" customHeight="true" outlineLevel="0" collapsed="false">
      <c r="A675" s="3" t="s">
        <v>620</v>
      </c>
      <c r="B675" s="3" t="s">
        <v>620</v>
      </c>
      <c r="C675" s="4" t="s">
        <v>15</v>
      </c>
      <c r="D675" s="3" t="s">
        <v>16</v>
      </c>
      <c r="E675" s="5" t="n">
        <v>3300</v>
      </c>
      <c r="F675" s="3" t="s">
        <v>16</v>
      </c>
      <c r="G675" s="5" t="n">
        <v>3300</v>
      </c>
      <c r="H675" s="5" t="n">
        <f aca="false">ROUND(ABS(G675)-ABS(E675),2)</f>
        <v>0</v>
      </c>
      <c r="I675" s="3" t="s">
        <v>632</v>
      </c>
      <c r="J675" s="3"/>
      <c r="K675" s="3"/>
      <c r="L675" s="3" t="s">
        <v>624</v>
      </c>
      <c r="M675" s="3" t="s">
        <v>633</v>
      </c>
      <c r="N675" s="3"/>
    </row>
    <row r="676" customFormat="false" ht="34.5" hidden="false" customHeight="true" outlineLevel="0" collapsed="false">
      <c r="A676" s="3" t="s">
        <v>620</v>
      </c>
      <c r="B676" s="3" t="s">
        <v>620</v>
      </c>
      <c r="C676" s="4" t="s">
        <v>15</v>
      </c>
      <c r="D676" s="3" t="s">
        <v>21</v>
      </c>
      <c r="E676" s="5" t="n">
        <v>746.42</v>
      </c>
      <c r="F676" s="3" t="s">
        <v>21</v>
      </c>
      <c r="G676" s="5" t="n">
        <v>746.42</v>
      </c>
      <c r="H676" s="5" t="n">
        <f aca="false">ROUND(ABS(G676)-ABS(E676),2)</f>
        <v>0</v>
      </c>
      <c r="I676" s="3" t="s">
        <v>632</v>
      </c>
      <c r="J676" s="3"/>
      <c r="K676" s="3"/>
      <c r="L676" s="3" t="s">
        <v>624</v>
      </c>
      <c r="M676" s="3" t="s">
        <v>634</v>
      </c>
      <c r="N676" s="3"/>
    </row>
    <row r="677" customFormat="false" ht="34.5" hidden="false" customHeight="true" outlineLevel="0" collapsed="false">
      <c r="A677" s="3" t="s">
        <v>620</v>
      </c>
      <c r="B677" s="3" t="s">
        <v>620</v>
      </c>
      <c r="C677" s="4" t="s">
        <v>15</v>
      </c>
      <c r="D677" s="3" t="s">
        <v>22</v>
      </c>
      <c r="E677" s="5" t="n">
        <v>15.25</v>
      </c>
      <c r="F677" s="3" t="s">
        <v>22</v>
      </c>
      <c r="G677" s="5" t="n">
        <v>15.25</v>
      </c>
      <c r="H677" s="5" t="n">
        <f aca="false">ROUND(ABS(G677)-ABS(E677),2)</f>
        <v>0</v>
      </c>
      <c r="I677" s="3" t="s">
        <v>632</v>
      </c>
      <c r="J677" s="3"/>
      <c r="K677" s="3"/>
      <c r="L677" s="3" t="s">
        <v>627</v>
      </c>
      <c r="M677" s="3" t="s">
        <v>635</v>
      </c>
      <c r="N677" s="3"/>
    </row>
    <row r="678" customFormat="false" ht="34.5" hidden="false" customHeight="true" outlineLevel="0" collapsed="false">
      <c r="A678" s="3" t="s">
        <v>620</v>
      </c>
      <c r="B678" s="3" t="s">
        <v>620</v>
      </c>
      <c r="C678" s="4" t="s">
        <v>15</v>
      </c>
      <c r="D678" s="3" t="s">
        <v>24</v>
      </c>
      <c r="E678" s="5" t="n">
        <v>2150.03</v>
      </c>
      <c r="F678" s="3" t="s">
        <v>24</v>
      </c>
      <c r="G678" s="5" t="n">
        <v>2150.03</v>
      </c>
      <c r="H678" s="5" t="n">
        <f aca="false">ROUND(ABS(G678)-ABS(E678),2)</f>
        <v>0</v>
      </c>
      <c r="I678" s="3" t="s">
        <v>632</v>
      </c>
      <c r="J678" s="3"/>
      <c r="K678" s="3"/>
      <c r="L678" s="3" t="s">
        <v>624</v>
      </c>
      <c r="M678" s="3" t="s">
        <v>636</v>
      </c>
      <c r="N678" s="3"/>
    </row>
    <row r="679" customFormat="false" ht="34.5" hidden="false" customHeight="true" outlineLevel="0" collapsed="false">
      <c r="A679" s="3" t="s">
        <v>620</v>
      </c>
      <c r="B679" s="3" t="s">
        <v>620</v>
      </c>
      <c r="C679" s="7" t="s">
        <v>37</v>
      </c>
      <c r="D679" s="3" t="s">
        <v>25</v>
      </c>
      <c r="E679" s="5" t="n">
        <v>9.97</v>
      </c>
      <c r="F679" s="3" t="s">
        <v>25</v>
      </c>
      <c r="G679" s="5" t="n">
        <v>65.22</v>
      </c>
      <c r="H679" s="5" t="n">
        <f aca="false">ROUND(ABS(G679)-ABS(E679),2)</f>
        <v>55.25</v>
      </c>
      <c r="I679" s="3" t="s">
        <v>632</v>
      </c>
      <c r="J679" s="3"/>
      <c r="K679" s="3"/>
      <c r="L679" s="3" t="s">
        <v>630</v>
      </c>
      <c r="M679" s="3" t="s">
        <v>637</v>
      </c>
      <c r="N679" s="3" t="s">
        <v>62</v>
      </c>
    </row>
    <row r="680" customFormat="false" ht="23.25" hidden="false" customHeight="true" outlineLevel="0" collapsed="false">
      <c r="A680" s="3" t="s">
        <v>620</v>
      </c>
      <c r="B680" s="3" t="s">
        <v>620</v>
      </c>
      <c r="C680" s="7" t="s">
        <v>37</v>
      </c>
      <c r="D680" s="3" t="s">
        <v>29</v>
      </c>
      <c r="E680" s="5" t="s">
        <v>37</v>
      </c>
      <c r="F680" s="3" t="s">
        <v>29</v>
      </c>
      <c r="G680" s="5" t="s">
        <v>37</v>
      </c>
      <c r="H680" s="5" t="s">
        <v>37</v>
      </c>
      <c r="I680" s="3" t="s">
        <v>632</v>
      </c>
      <c r="J680" s="3" t="s">
        <v>38</v>
      </c>
      <c r="K680" s="3"/>
      <c r="L680" s="3" t="s">
        <v>39</v>
      </c>
      <c r="M680" s="3"/>
      <c r="N680" s="3" t="s">
        <v>40</v>
      </c>
    </row>
    <row r="681" customFormat="false" ht="15" hidden="false" customHeight="true" outlineLevel="0" collapsed="false">
      <c r="A681" s="3" t="s">
        <v>620</v>
      </c>
      <c r="B681" s="3" t="s">
        <v>620</v>
      </c>
      <c r="C681" s="7" t="s">
        <v>37</v>
      </c>
      <c r="D681" s="3" t="s">
        <v>25</v>
      </c>
      <c r="E681" s="5" t="n">
        <v>75.75</v>
      </c>
      <c r="F681" s="3" t="s">
        <v>25</v>
      </c>
      <c r="G681" s="5" t="s">
        <v>37</v>
      </c>
      <c r="H681" s="5" t="s">
        <v>37</v>
      </c>
      <c r="I681" s="3" t="s">
        <v>70</v>
      </c>
      <c r="J681" s="3" t="s">
        <v>71</v>
      </c>
      <c r="K681" s="3"/>
      <c r="L681" s="3" t="s">
        <v>72</v>
      </c>
      <c r="M681" s="3"/>
      <c r="N681" s="3" t="s">
        <v>73</v>
      </c>
    </row>
    <row r="682" customFormat="false" ht="75.75" hidden="false" customHeight="true" outlineLevel="0" collapsed="false">
      <c r="A682" s="8" t="s">
        <v>620</v>
      </c>
      <c r="B682" s="8" t="s">
        <v>620</v>
      </c>
      <c r="C682" s="8" t="s">
        <v>28</v>
      </c>
      <c r="D682" s="8" t="s">
        <v>47</v>
      </c>
      <c r="E682" s="8" t="s">
        <v>638</v>
      </c>
      <c r="F682" s="8" t="s">
        <v>47</v>
      </c>
      <c r="G682" s="8" t="s">
        <v>214</v>
      </c>
      <c r="H682" s="8"/>
      <c r="I682" s="8" t="s">
        <v>49</v>
      </c>
      <c r="J682" s="8" t="s">
        <v>214</v>
      </c>
      <c r="K682" s="8"/>
      <c r="L682" s="8" t="s">
        <v>621</v>
      </c>
      <c r="M682" s="8" t="s">
        <v>622</v>
      </c>
      <c r="N682" s="8" t="s">
        <v>50</v>
      </c>
    </row>
    <row r="683" customFormat="false" ht="23.25" hidden="false" customHeight="true" outlineLevel="0" collapsed="false">
      <c r="A683" s="3" t="s">
        <v>639</v>
      </c>
      <c r="B683" s="3" t="s">
        <v>639</v>
      </c>
      <c r="C683" s="4" t="s">
        <v>15</v>
      </c>
      <c r="D683" s="3" t="s">
        <v>16</v>
      </c>
      <c r="E683" s="5" t="n">
        <v>9020</v>
      </c>
      <c r="F683" s="3" t="s">
        <v>16</v>
      </c>
      <c r="G683" s="5" t="n">
        <v>9020</v>
      </c>
      <c r="H683" s="5" t="n">
        <f aca="false">ROUND(ABS(G683)-ABS(E683),2)</f>
        <v>0</v>
      </c>
      <c r="I683" s="3" t="s">
        <v>17</v>
      </c>
      <c r="J683" s="3" t="s">
        <v>214</v>
      </c>
      <c r="K683" s="3"/>
      <c r="L683" s="3" t="s">
        <v>640</v>
      </c>
      <c r="M683" s="3" t="s">
        <v>641</v>
      </c>
      <c r="N683" s="3"/>
    </row>
    <row r="684" customFormat="false" ht="23.25" hidden="false" customHeight="true" outlineLevel="0" collapsed="false">
      <c r="A684" s="3" t="s">
        <v>639</v>
      </c>
      <c r="B684" s="3" t="s">
        <v>639</v>
      </c>
      <c r="C684" s="4" t="s">
        <v>15</v>
      </c>
      <c r="D684" s="3" t="s">
        <v>21</v>
      </c>
      <c r="E684" s="5" t="n">
        <v>1954.85</v>
      </c>
      <c r="F684" s="3" t="s">
        <v>21</v>
      </c>
      <c r="G684" s="5" t="n">
        <v>1954.85</v>
      </c>
      <c r="H684" s="5" t="n">
        <f aca="false">ROUND(ABS(G684)-ABS(E684),2)</f>
        <v>0</v>
      </c>
      <c r="I684" s="3" t="s">
        <v>17</v>
      </c>
      <c r="J684" s="3" t="s">
        <v>214</v>
      </c>
      <c r="K684" s="3"/>
      <c r="L684" s="3" t="s">
        <v>640</v>
      </c>
      <c r="M684" s="3" t="s">
        <v>641</v>
      </c>
      <c r="N684" s="3"/>
    </row>
    <row r="685" customFormat="false" ht="23.25" hidden="false" customHeight="true" outlineLevel="0" collapsed="false">
      <c r="A685" s="3" t="s">
        <v>639</v>
      </c>
      <c r="B685" s="3" t="s">
        <v>639</v>
      </c>
      <c r="C685" s="4" t="s">
        <v>15</v>
      </c>
      <c r="D685" s="3" t="s">
        <v>22</v>
      </c>
      <c r="E685" s="5" t="n">
        <v>159.99</v>
      </c>
      <c r="F685" s="3" t="s">
        <v>22</v>
      </c>
      <c r="G685" s="5" t="n">
        <v>159.99</v>
      </c>
      <c r="H685" s="5" t="n">
        <f aca="false">ROUND(ABS(G685)-ABS(E685),2)</f>
        <v>0</v>
      </c>
      <c r="I685" s="3" t="s">
        <v>17</v>
      </c>
      <c r="J685" s="3" t="s">
        <v>214</v>
      </c>
      <c r="K685" s="3"/>
      <c r="L685" s="3" t="s">
        <v>640</v>
      </c>
      <c r="M685" s="3" t="s">
        <v>641</v>
      </c>
      <c r="N685" s="3" t="s">
        <v>23</v>
      </c>
    </row>
    <row r="686" customFormat="false" ht="23.25" hidden="false" customHeight="true" outlineLevel="0" collapsed="false">
      <c r="A686" s="3" t="s">
        <v>639</v>
      </c>
      <c r="B686" s="3" t="s">
        <v>639</v>
      </c>
      <c r="C686" s="4" t="s">
        <v>15</v>
      </c>
      <c r="D686" s="3" t="s">
        <v>24</v>
      </c>
      <c r="E686" s="5" t="n">
        <v>3502.41</v>
      </c>
      <c r="F686" s="3" t="s">
        <v>24</v>
      </c>
      <c r="G686" s="5" t="n">
        <v>3502.41</v>
      </c>
      <c r="H686" s="5" t="n">
        <f aca="false">ROUND(ABS(G686)-ABS(E686),2)</f>
        <v>0</v>
      </c>
      <c r="I686" s="3" t="s">
        <v>17</v>
      </c>
      <c r="J686" s="3" t="s">
        <v>214</v>
      </c>
      <c r="K686" s="3"/>
      <c r="L686" s="3" t="s">
        <v>640</v>
      </c>
      <c r="M686" s="3" t="s">
        <v>641</v>
      </c>
      <c r="N686" s="3"/>
    </row>
    <row r="687" customFormat="false" ht="23.25" hidden="false" customHeight="true" outlineLevel="0" collapsed="false">
      <c r="A687" s="3" t="s">
        <v>639</v>
      </c>
      <c r="B687" s="3" t="s">
        <v>639</v>
      </c>
      <c r="C687" s="4" t="s">
        <v>15</v>
      </c>
      <c r="D687" s="3" t="s">
        <v>25</v>
      </c>
      <c r="E687" s="5" t="n">
        <v>122.58</v>
      </c>
      <c r="F687" s="3" t="s">
        <v>25</v>
      </c>
      <c r="G687" s="5" t="n">
        <v>122.58</v>
      </c>
      <c r="H687" s="5" t="n">
        <f aca="false">ROUND(ABS(G687)-ABS(E687),2)</f>
        <v>0</v>
      </c>
      <c r="I687" s="3" t="s">
        <v>17</v>
      </c>
      <c r="J687" s="3" t="s">
        <v>214</v>
      </c>
      <c r="K687" s="3"/>
      <c r="L687" s="3" t="s">
        <v>640</v>
      </c>
      <c r="M687" s="3" t="s">
        <v>641</v>
      </c>
      <c r="N687" s="3"/>
    </row>
    <row r="688" customFormat="false" ht="23.25" hidden="false" customHeight="true" outlineLevel="0" collapsed="false">
      <c r="A688" s="3" t="s">
        <v>639</v>
      </c>
      <c r="B688" s="3" t="s">
        <v>639</v>
      </c>
      <c r="C688" s="4" t="s">
        <v>15</v>
      </c>
      <c r="D688" s="3" t="s">
        <v>26</v>
      </c>
      <c r="E688" s="5" t="n">
        <v>0</v>
      </c>
      <c r="F688" s="3" t="s">
        <v>26</v>
      </c>
      <c r="G688" s="5" t="n">
        <v>0</v>
      </c>
      <c r="H688" s="5" t="n">
        <f aca="false">ROUND(ABS(G688)-ABS(E688),2)</f>
        <v>0</v>
      </c>
      <c r="I688" s="3" t="s">
        <v>17</v>
      </c>
      <c r="J688" s="3" t="s">
        <v>214</v>
      </c>
      <c r="K688" s="3"/>
      <c r="L688" s="3" t="s">
        <v>640</v>
      </c>
      <c r="M688" s="3" t="s">
        <v>641</v>
      </c>
      <c r="N688" s="3" t="s">
        <v>27</v>
      </c>
    </row>
    <row r="689" customFormat="false" ht="23.25" hidden="false" customHeight="true" outlineLevel="0" collapsed="false">
      <c r="A689" s="3" t="s">
        <v>639</v>
      </c>
      <c r="B689" s="3" t="s">
        <v>639</v>
      </c>
      <c r="C689" s="6" t="s">
        <v>28</v>
      </c>
      <c r="D689" s="3" t="s">
        <v>29</v>
      </c>
      <c r="E689" s="5" t="n">
        <v>3179.86</v>
      </c>
      <c r="F689" s="3" t="s">
        <v>29</v>
      </c>
      <c r="G689" s="5" t="n">
        <v>-222.24</v>
      </c>
      <c r="H689" s="5" t="n">
        <f aca="false">ROUND(ABS(G689)-ABS(E689),2)</f>
        <v>-2957.62</v>
      </c>
      <c r="I689" s="3" t="s">
        <v>17</v>
      </c>
      <c r="J689" s="3" t="s">
        <v>214</v>
      </c>
      <c r="K689" s="3"/>
      <c r="L689" s="3" t="s">
        <v>640</v>
      </c>
      <c r="M689" s="3" t="s">
        <v>641</v>
      </c>
      <c r="N689" s="3" t="s">
        <v>30</v>
      </c>
    </row>
    <row r="690" customFormat="false" ht="34.5" hidden="false" customHeight="true" outlineLevel="0" collapsed="false">
      <c r="A690" s="3" t="s">
        <v>639</v>
      </c>
      <c r="B690" s="3" t="s">
        <v>639</v>
      </c>
      <c r="C690" s="4" t="s">
        <v>15</v>
      </c>
      <c r="D690" s="3" t="s">
        <v>16</v>
      </c>
      <c r="E690" s="5" t="n">
        <v>4900</v>
      </c>
      <c r="F690" s="3" t="s">
        <v>16</v>
      </c>
      <c r="G690" s="5" t="n">
        <v>4900</v>
      </c>
      <c r="H690" s="5" t="n">
        <f aca="false">ROUND(ABS(G690)-ABS(E690),2)</f>
        <v>0</v>
      </c>
      <c r="I690" s="3" t="s">
        <v>642</v>
      </c>
      <c r="J690" s="3"/>
      <c r="K690" s="3"/>
      <c r="L690" s="3" t="s">
        <v>643</v>
      </c>
      <c r="M690" s="3" t="s">
        <v>644</v>
      </c>
      <c r="N690" s="3"/>
    </row>
    <row r="691" customFormat="false" ht="34.5" hidden="false" customHeight="true" outlineLevel="0" collapsed="false">
      <c r="A691" s="3" t="s">
        <v>639</v>
      </c>
      <c r="B691" s="3" t="s">
        <v>639</v>
      </c>
      <c r="C691" s="4" t="s">
        <v>15</v>
      </c>
      <c r="D691" s="3" t="s">
        <v>21</v>
      </c>
      <c r="E691" s="5" t="n">
        <v>945.1</v>
      </c>
      <c r="F691" s="3" t="s">
        <v>21</v>
      </c>
      <c r="G691" s="5" t="n">
        <v>945.1</v>
      </c>
      <c r="H691" s="5" t="n">
        <f aca="false">ROUND(ABS(G691)-ABS(E691),2)</f>
        <v>0</v>
      </c>
      <c r="I691" s="3" t="s">
        <v>642</v>
      </c>
      <c r="J691" s="3"/>
      <c r="K691" s="3"/>
      <c r="L691" s="3" t="s">
        <v>643</v>
      </c>
      <c r="M691" s="3" t="s">
        <v>645</v>
      </c>
      <c r="N691" s="3"/>
    </row>
    <row r="692" customFormat="false" ht="34.5" hidden="false" customHeight="true" outlineLevel="0" collapsed="false">
      <c r="A692" s="3" t="s">
        <v>639</v>
      </c>
      <c r="B692" s="3" t="s">
        <v>639</v>
      </c>
      <c r="C692" s="4" t="s">
        <v>15</v>
      </c>
      <c r="D692" s="3" t="s">
        <v>22</v>
      </c>
      <c r="E692" s="5" t="n">
        <v>60</v>
      </c>
      <c r="F692" s="3" t="s">
        <v>22</v>
      </c>
      <c r="G692" s="5" t="n">
        <v>60</v>
      </c>
      <c r="H692" s="5" t="n">
        <f aca="false">ROUND(ABS(G692)-ABS(E692),2)</f>
        <v>0</v>
      </c>
      <c r="I692" s="3" t="s">
        <v>642</v>
      </c>
      <c r="J692" s="3"/>
      <c r="K692" s="3"/>
      <c r="L692" s="3" t="s">
        <v>646</v>
      </c>
      <c r="M692" s="3" t="s">
        <v>647</v>
      </c>
      <c r="N692" s="3"/>
    </row>
    <row r="693" customFormat="false" ht="34.5" hidden="false" customHeight="true" outlineLevel="0" collapsed="false">
      <c r="A693" s="3" t="s">
        <v>639</v>
      </c>
      <c r="B693" s="3" t="s">
        <v>639</v>
      </c>
      <c r="C693" s="4" t="s">
        <v>15</v>
      </c>
      <c r="D693" s="3" t="s">
        <v>24</v>
      </c>
      <c r="E693" s="5" t="n">
        <v>1491.7</v>
      </c>
      <c r="F693" s="3" t="s">
        <v>24</v>
      </c>
      <c r="G693" s="5" t="n">
        <v>1491.7</v>
      </c>
      <c r="H693" s="5" t="n">
        <f aca="false">ROUND(ABS(G693)-ABS(E693),2)</f>
        <v>0</v>
      </c>
      <c r="I693" s="3" t="s">
        <v>642</v>
      </c>
      <c r="J693" s="3"/>
      <c r="K693" s="3"/>
      <c r="L693" s="3" t="s">
        <v>643</v>
      </c>
      <c r="M693" s="3" t="s">
        <v>648</v>
      </c>
      <c r="N693" s="3"/>
    </row>
    <row r="694" customFormat="false" ht="34.5" hidden="false" customHeight="true" outlineLevel="0" collapsed="false">
      <c r="A694" s="3" t="s">
        <v>639</v>
      </c>
      <c r="B694" s="3" t="s">
        <v>639</v>
      </c>
      <c r="C694" s="7" t="s">
        <v>37</v>
      </c>
      <c r="D694" s="3" t="s">
        <v>25</v>
      </c>
      <c r="E694" s="5" t="n">
        <v>38.3</v>
      </c>
      <c r="F694" s="3" t="s">
        <v>25</v>
      </c>
      <c r="G694" s="5" t="n">
        <v>48.3</v>
      </c>
      <c r="H694" s="5" t="n">
        <f aca="false">ROUND(ABS(G694)-ABS(E694),2)</f>
        <v>10</v>
      </c>
      <c r="I694" s="3" t="s">
        <v>642</v>
      </c>
      <c r="J694" s="3"/>
      <c r="K694" s="3"/>
      <c r="L694" s="3" t="s">
        <v>649</v>
      </c>
      <c r="M694" s="3" t="s">
        <v>650</v>
      </c>
      <c r="N694" s="3" t="s">
        <v>62</v>
      </c>
    </row>
    <row r="695" customFormat="false" ht="23.25" hidden="false" customHeight="true" outlineLevel="0" collapsed="false">
      <c r="A695" s="3" t="s">
        <v>639</v>
      </c>
      <c r="B695" s="3" t="s">
        <v>639</v>
      </c>
      <c r="C695" s="7" t="s">
        <v>37</v>
      </c>
      <c r="D695" s="3" t="s">
        <v>29</v>
      </c>
      <c r="E695" s="5" t="s">
        <v>37</v>
      </c>
      <c r="F695" s="3" t="s">
        <v>29</v>
      </c>
      <c r="G695" s="5" t="s">
        <v>37</v>
      </c>
      <c r="H695" s="5" t="s">
        <v>37</v>
      </c>
      <c r="I695" s="3" t="s">
        <v>642</v>
      </c>
      <c r="J695" s="3" t="s">
        <v>38</v>
      </c>
      <c r="K695" s="3"/>
      <c r="L695" s="3" t="s">
        <v>39</v>
      </c>
      <c r="M695" s="3"/>
      <c r="N695" s="3" t="s">
        <v>40</v>
      </c>
    </row>
    <row r="696" customFormat="false" ht="34.5" hidden="false" customHeight="true" outlineLevel="0" collapsed="false">
      <c r="A696" s="3" t="s">
        <v>639</v>
      </c>
      <c r="B696" s="3" t="s">
        <v>639</v>
      </c>
      <c r="C696" s="4" t="s">
        <v>15</v>
      </c>
      <c r="D696" s="3" t="s">
        <v>16</v>
      </c>
      <c r="E696" s="5" t="n">
        <v>4120</v>
      </c>
      <c r="F696" s="3" t="s">
        <v>16</v>
      </c>
      <c r="G696" s="5" t="n">
        <v>4120</v>
      </c>
      <c r="H696" s="5" t="n">
        <f aca="false">ROUND(ABS(G696)-ABS(E696),2)</f>
        <v>0</v>
      </c>
      <c r="I696" s="3" t="s">
        <v>651</v>
      </c>
      <c r="J696" s="3"/>
      <c r="K696" s="3"/>
      <c r="L696" s="3" t="s">
        <v>643</v>
      </c>
      <c r="M696" s="3" t="s">
        <v>652</v>
      </c>
      <c r="N696" s="3"/>
    </row>
    <row r="697" customFormat="false" ht="34.5" hidden="false" customHeight="true" outlineLevel="0" collapsed="false">
      <c r="A697" s="3" t="s">
        <v>639</v>
      </c>
      <c r="B697" s="3" t="s">
        <v>639</v>
      </c>
      <c r="C697" s="4" t="s">
        <v>15</v>
      </c>
      <c r="D697" s="3" t="s">
        <v>21</v>
      </c>
      <c r="E697" s="5" t="n">
        <v>1009.75</v>
      </c>
      <c r="F697" s="3" t="s">
        <v>21</v>
      </c>
      <c r="G697" s="5" t="n">
        <v>1009.75</v>
      </c>
      <c r="H697" s="5" t="n">
        <f aca="false">ROUND(ABS(G697)-ABS(E697),2)</f>
        <v>0</v>
      </c>
      <c r="I697" s="3" t="s">
        <v>651</v>
      </c>
      <c r="J697" s="3"/>
      <c r="K697" s="3"/>
      <c r="L697" s="3" t="s">
        <v>643</v>
      </c>
      <c r="M697" s="3" t="s">
        <v>653</v>
      </c>
      <c r="N697" s="3"/>
    </row>
    <row r="698" customFormat="false" ht="34.5" hidden="false" customHeight="true" outlineLevel="0" collapsed="false">
      <c r="A698" s="3" t="s">
        <v>639</v>
      </c>
      <c r="B698" s="3" t="s">
        <v>639</v>
      </c>
      <c r="C698" s="4" t="s">
        <v>15</v>
      </c>
      <c r="D698" s="3" t="s">
        <v>22</v>
      </c>
      <c r="E698" s="5" t="n">
        <v>99.99</v>
      </c>
      <c r="F698" s="3" t="s">
        <v>22</v>
      </c>
      <c r="G698" s="5" t="n">
        <v>99.99</v>
      </c>
      <c r="H698" s="5" t="n">
        <f aca="false">ROUND(ABS(G698)-ABS(E698),2)</f>
        <v>0</v>
      </c>
      <c r="I698" s="3" t="s">
        <v>651</v>
      </c>
      <c r="J698" s="3"/>
      <c r="K698" s="3"/>
      <c r="L698" s="3" t="s">
        <v>646</v>
      </c>
      <c r="M698" s="3" t="s">
        <v>654</v>
      </c>
      <c r="N698" s="3"/>
    </row>
    <row r="699" customFormat="false" ht="34.5" hidden="false" customHeight="true" outlineLevel="0" collapsed="false">
      <c r="A699" s="3" t="s">
        <v>639</v>
      </c>
      <c r="B699" s="3" t="s">
        <v>639</v>
      </c>
      <c r="C699" s="4" t="s">
        <v>15</v>
      </c>
      <c r="D699" s="3" t="s">
        <v>24</v>
      </c>
      <c r="E699" s="5" t="n">
        <v>2010.71</v>
      </c>
      <c r="F699" s="3" t="s">
        <v>24</v>
      </c>
      <c r="G699" s="5" t="n">
        <v>2010.71</v>
      </c>
      <c r="H699" s="5" t="n">
        <f aca="false">ROUND(ABS(G699)-ABS(E699),2)</f>
        <v>0</v>
      </c>
      <c r="I699" s="3" t="s">
        <v>651</v>
      </c>
      <c r="J699" s="3"/>
      <c r="K699" s="3"/>
      <c r="L699" s="3" t="s">
        <v>643</v>
      </c>
      <c r="M699" s="3" t="s">
        <v>655</v>
      </c>
      <c r="N699" s="3"/>
    </row>
    <row r="700" customFormat="false" ht="34.5" hidden="false" customHeight="true" outlineLevel="0" collapsed="false">
      <c r="A700" s="3" t="s">
        <v>639</v>
      </c>
      <c r="B700" s="3" t="s">
        <v>639</v>
      </c>
      <c r="C700" s="7" t="s">
        <v>37</v>
      </c>
      <c r="D700" s="3" t="s">
        <v>25</v>
      </c>
      <c r="E700" s="5" t="n">
        <v>49.29</v>
      </c>
      <c r="F700" s="3" t="s">
        <v>25</v>
      </c>
      <c r="G700" s="5" t="n">
        <v>74.28</v>
      </c>
      <c r="H700" s="5" t="n">
        <f aca="false">ROUND(ABS(G700)-ABS(E700),2)</f>
        <v>24.99</v>
      </c>
      <c r="I700" s="3" t="s">
        <v>651</v>
      </c>
      <c r="J700" s="3"/>
      <c r="K700" s="3"/>
      <c r="L700" s="3" t="s">
        <v>649</v>
      </c>
      <c r="M700" s="3" t="s">
        <v>656</v>
      </c>
      <c r="N700" s="3" t="s">
        <v>62</v>
      </c>
    </row>
    <row r="701" customFormat="false" ht="23.25" hidden="false" customHeight="true" outlineLevel="0" collapsed="false">
      <c r="A701" s="3" t="s">
        <v>639</v>
      </c>
      <c r="B701" s="3" t="s">
        <v>639</v>
      </c>
      <c r="C701" s="7" t="s">
        <v>37</v>
      </c>
      <c r="D701" s="3" t="s">
        <v>29</v>
      </c>
      <c r="E701" s="5" t="s">
        <v>37</v>
      </c>
      <c r="F701" s="3" t="s">
        <v>29</v>
      </c>
      <c r="G701" s="5" t="s">
        <v>37</v>
      </c>
      <c r="H701" s="5" t="s">
        <v>37</v>
      </c>
      <c r="I701" s="3" t="s">
        <v>651</v>
      </c>
      <c r="J701" s="3" t="s">
        <v>38</v>
      </c>
      <c r="K701" s="3"/>
      <c r="L701" s="3" t="s">
        <v>39</v>
      </c>
      <c r="M701" s="3"/>
      <c r="N701" s="3" t="s">
        <v>40</v>
      </c>
    </row>
    <row r="702" customFormat="false" ht="15" hidden="false" customHeight="true" outlineLevel="0" collapsed="false">
      <c r="A702" s="3" t="s">
        <v>639</v>
      </c>
      <c r="B702" s="3" t="s">
        <v>639</v>
      </c>
      <c r="C702" s="7" t="s">
        <v>37</v>
      </c>
      <c r="D702" s="3" t="s">
        <v>25</v>
      </c>
      <c r="E702" s="5" t="n">
        <v>34.99</v>
      </c>
      <c r="F702" s="3" t="s">
        <v>25</v>
      </c>
      <c r="G702" s="5" t="s">
        <v>37</v>
      </c>
      <c r="H702" s="5" t="s">
        <v>37</v>
      </c>
      <c r="I702" s="3" t="s">
        <v>70</v>
      </c>
      <c r="J702" s="3" t="s">
        <v>71</v>
      </c>
      <c r="K702" s="3"/>
      <c r="L702" s="3" t="s">
        <v>72</v>
      </c>
      <c r="M702" s="3"/>
      <c r="N702" s="3" t="s">
        <v>73</v>
      </c>
    </row>
    <row r="703" customFormat="false" ht="75.75" hidden="false" customHeight="true" outlineLevel="0" collapsed="false">
      <c r="A703" s="8" t="s">
        <v>639</v>
      </c>
      <c r="B703" s="8" t="s">
        <v>639</v>
      </c>
      <c r="C703" s="8" t="s">
        <v>28</v>
      </c>
      <c r="D703" s="8" t="s">
        <v>47</v>
      </c>
      <c r="E703" s="8" t="s">
        <v>657</v>
      </c>
      <c r="F703" s="8" t="s">
        <v>47</v>
      </c>
      <c r="G703" s="8" t="s">
        <v>214</v>
      </c>
      <c r="H703" s="8"/>
      <c r="I703" s="8" t="s">
        <v>49</v>
      </c>
      <c r="J703" s="8" t="s">
        <v>214</v>
      </c>
      <c r="K703" s="8"/>
      <c r="L703" s="8" t="s">
        <v>640</v>
      </c>
      <c r="M703" s="8" t="s">
        <v>641</v>
      </c>
      <c r="N703" s="8" t="s">
        <v>50</v>
      </c>
    </row>
    <row r="704" customFormat="false" ht="23.25" hidden="false" customHeight="true" outlineLevel="0" collapsed="false">
      <c r="A704" s="3" t="s">
        <v>658</v>
      </c>
      <c r="B704" s="3" t="s">
        <v>658</v>
      </c>
      <c r="C704" s="6" t="s">
        <v>28</v>
      </c>
      <c r="D704" s="3" t="s">
        <v>16</v>
      </c>
      <c r="E704" s="5" t="n">
        <v>3600</v>
      </c>
      <c r="F704" s="3" t="s">
        <v>16</v>
      </c>
      <c r="G704" s="5" t="n">
        <v>6600</v>
      </c>
      <c r="H704" s="5" t="n">
        <f aca="false">ROUND(ABS(G704)-ABS(E704),2)</f>
        <v>3000</v>
      </c>
      <c r="I704" s="3" t="s">
        <v>17</v>
      </c>
      <c r="J704" s="3" t="s">
        <v>214</v>
      </c>
      <c r="K704" s="3"/>
      <c r="L704" s="3" t="s">
        <v>659</v>
      </c>
      <c r="M704" s="3" t="s">
        <v>660</v>
      </c>
      <c r="N704" s="3"/>
    </row>
    <row r="705" customFormat="false" ht="23.25" hidden="false" customHeight="true" outlineLevel="0" collapsed="false">
      <c r="A705" s="3" t="s">
        <v>658</v>
      </c>
      <c r="B705" s="3" t="s">
        <v>658</v>
      </c>
      <c r="C705" s="4" t="s">
        <v>15</v>
      </c>
      <c r="D705" s="3" t="s">
        <v>21</v>
      </c>
      <c r="E705" s="5" t="n">
        <v>1459.05</v>
      </c>
      <c r="F705" s="3" t="s">
        <v>21</v>
      </c>
      <c r="G705" s="5" t="n">
        <v>1459.05</v>
      </c>
      <c r="H705" s="5" t="n">
        <f aca="false">ROUND(ABS(G705)-ABS(E705),2)</f>
        <v>0</v>
      </c>
      <c r="I705" s="3" t="s">
        <v>17</v>
      </c>
      <c r="J705" s="3" t="s">
        <v>214</v>
      </c>
      <c r="K705" s="3"/>
      <c r="L705" s="3" t="s">
        <v>659</v>
      </c>
      <c r="M705" s="3" t="s">
        <v>660</v>
      </c>
      <c r="N705" s="3"/>
    </row>
    <row r="706" customFormat="false" ht="23.25" hidden="false" customHeight="true" outlineLevel="0" collapsed="false">
      <c r="A706" s="3" t="s">
        <v>658</v>
      </c>
      <c r="B706" s="3" t="s">
        <v>658</v>
      </c>
      <c r="C706" s="4" t="s">
        <v>15</v>
      </c>
      <c r="D706" s="3" t="s">
        <v>22</v>
      </c>
      <c r="E706" s="5" t="n">
        <v>225</v>
      </c>
      <c r="F706" s="3" t="s">
        <v>22</v>
      </c>
      <c r="G706" s="5" t="n">
        <v>225</v>
      </c>
      <c r="H706" s="5" t="n">
        <f aca="false">ROUND(ABS(G706)-ABS(E706),2)</f>
        <v>0</v>
      </c>
      <c r="I706" s="3" t="s">
        <v>17</v>
      </c>
      <c r="J706" s="3" t="s">
        <v>214</v>
      </c>
      <c r="K706" s="3"/>
      <c r="L706" s="3" t="s">
        <v>659</v>
      </c>
      <c r="M706" s="3" t="s">
        <v>660</v>
      </c>
      <c r="N706" s="3" t="s">
        <v>23</v>
      </c>
    </row>
    <row r="707" customFormat="false" ht="23.25" hidden="false" customHeight="true" outlineLevel="0" collapsed="false">
      <c r="A707" s="3" t="s">
        <v>658</v>
      </c>
      <c r="B707" s="3" t="s">
        <v>658</v>
      </c>
      <c r="C707" s="4" t="s">
        <v>15</v>
      </c>
      <c r="D707" s="3" t="s">
        <v>24</v>
      </c>
      <c r="E707" s="5" t="n">
        <v>2379.48</v>
      </c>
      <c r="F707" s="3" t="s">
        <v>24</v>
      </c>
      <c r="G707" s="5" t="n">
        <v>2379.48</v>
      </c>
      <c r="H707" s="5" t="n">
        <f aca="false">ROUND(ABS(G707)-ABS(E707),2)</f>
        <v>0</v>
      </c>
      <c r="I707" s="3" t="s">
        <v>17</v>
      </c>
      <c r="J707" s="3" t="s">
        <v>214</v>
      </c>
      <c r="K707" s="3"/>
      <c r="L707" s="3" t="s">
        <v>659</v>
      </c>
      <c r="M707" s="3" t="s">
        <v>660</v>
      </c>
      <c r="N707" s="3"/>
    </row>
    <row r="708" customFormat="false" ht="23.25" hidden="false" customHeight="true" outlineLevel="0" collapsed="false">
      <c r="A708" s="3" t="s">
        <v>658</v>
      </c>
      <c r="B708" s="3" t="s">
        <v>658</v>
      </c>
      <c r="C708" s="4" t="s">
        <v>15</v>
      </c>
      <c r="D708" s="3" t="s">
        <v>25</v>
      </c>
      <c r="E708" s="5" t="n">
        <v>37.36</v>
      </c>
      <c r="F708" s="3" t="s">
        <v>25</v>
      </c>
      <c r="G708" s="5" t="n">
        <v>37.36</v>
      </c>
      <c r="H708" s="5" t="n">
        <f aca="false">ROUND(ABS(G708)-ABS(E708),2)</f>
        <v>0</v>
      </c>
      <c r="I708" s="3" t="s">
        <v>17</v>
      </c>
      <c r="J708" s="3" t="s">
        <v>214</v>
      </c>
      <c r="K708" s="3"/>
      <c r="L708" s="3" t="s">
        <v>659</v>
      </c>
      <c r="M708" s="3" t="s">
        <v>660</v>
      </c>
      <c r="N708" s="3"/>
    </row>
    <row r="709" customFormat="false" ht="23.25" hidden="false" customHeight="true" outlineLevel="0" collapsed="false">
      <c r="A709" s="3" t="s">
        <v>658</v>
      </c>
      <c r="B709" s="3" t="s">
        <v>658</v>
      </c>
      <c r="C709" s="4" t="s">
        <v>15</v>
      </c>
      <c r="D709" s="3" t="s">
        <v>26</v>
      </c>
      <c r="E709" s="5" t="n">
        <v>0</v>
      </c>
      <c r="F709" s="3" t="s">
        <v>26</v>
      </c>
      <c r="G709" s="5" t="n">
        <v>0</v>
      </c>
      <c r="H709" s="5" t="n">
        <f aca="false">ROUND(ABS(G709)-ABS(E709),2)</f>
        <v>0</v>
      </c>
      <c r="I709" s="3" t="s">
        <v>17</v>
      </c>
      <c r="J709" s="3" t="s">
        <v>214</v>
      </c>
      <c r="K709" s="3"/>
      <c r="L709" s="3" t="s">
        <v>659</v>
      </c>
      <c r="M709" s="3" t="s">
        <v>660</v>
      </c>
      <c r="N709" s="3" t="s">
        <v>27</v>
      </c>
    </row>
    <row r="710" customFormat="false" ht="23.25" hidden="false" customHeight="true" outlineLevel="0" collapsed="false">
      <c r="A710" s="3" t="s">
        <v>658</v>
      </c>
      <c r="B710" s="3" t="s">
        <v>658</v>
      </c>
      <c r="C710" s="6" t="s">
        <v>28</v>
      </c>
      <c r="D710" s="3" t="s">
        <v>29</v>
      </c>
      <c r="E710" s="5" t="n">
        <v>-608.89</v>
      </c>
      <c r="F710" s="3" t="s">
        <v>29</v>
      </c>
      <c r="G710" s="5" t="n">
        <v>82.27</v>
      </c>
      <c r="H710" s="5" t="n">
        <f aca="false">ROUND(ABS(G710)-ABS(E710),2)</f>
        <v>-526.62</v>
      </c>
      <c r="I710" s="3" t="s">
        <v>17</v>
      </c>
      <c r="J710" s="3" t="s">
        <v>214</v>
      </c>
      <c r="K710" s="3"/>
      <c r="L710" s="3" t="s">
        <v>659</v>
      </c>
      <c r="M710" s="3" t="s">
        <v>660</v>
      </c>
      <c r="N710" s="3" t="s">
        <v>30</v>
      </c>
    </row>
    <row r="711" customFormat="false" ht="23.25" hidden="false" customHeight="true" outlineLevel="0" collapsed="false">
      <c r="A711" s="3" t="s">
        <v>658</v>
      </c>
      <c r="B711" s="3" t="s">
        <v>658</v>
      </c>
      <c r="C711" s="6" t="s">
        <v>28</v>
      </c>
      <c r="D711" s="3" t="s">
        <v>16</v>
      </c>
      <c r="E711" s="5" t="n">
        <v>0</v>
      </c>
      <c r="F711" s="3" t="s">
        <v>16</v>
      </c>
      <c r="G711" s="5" t="n">
        <v>3000</v>
      </c>
      <c r="H711" s="5" t="n">
        <f aca="false">ROUND(ABS(G711)-ABS(E711),2)</f>
        <v>3000</v>
      </c>
      <c r="I711" s="3" t="s">
        <v>661</v>
      </c>
      <c r="J711" s="3"/>
      <c r="K711" s="3"/>
      <c r="L711" s="3" t="s">
        <v>662</v>
      </c>
      <c r="M711" s="3" t="s">
        <v>663</v>
      </c>
      <c r="N711" s="3"/>
    </row>
    <row r="712" customFormat="false" ht="34.5" hidden="false" customHeight="true" outlineLevel="0" collapsed="false">
      <c r="A712" s="3" t="s">
        <v>658</v>
      </c>
      <c r="B712" s="3" t="s">
        <v>658</v>
      </c>
      <c r="C712" s="4" t="s">
        <v>15</v>
      </c>
      <c r="D712" s="3" t="s">
        <v>21</v>
      </c>
      <c r="E712" s="5" t="n">
        <v>698.9</v>
      </c>
      <c r="F712" s="3" t="s">
        <v>21</v>
      </c>
      <c r="G712" s="5" t="n">
        <v>698.9</v>
      </c>
      <c r="H712" s="5" t="n">
        <f aca="false">ROUND(ABS(G712)-ABS(E712),2)</f>
        <v>0</v>
      </c>
      <c r="I712" s="3" t="s">
        <v>661</v>
      </c>
      <c r="J712" s="3"/>
      <c r="K712" s="3"/>
      <c r="L712" s="3" t="s">
        <v>664</v>
      </c>
      <c r="M712" s="3" t="s">
        <v>665</v>
      </c>
      <c r="N712" s="3"/>
    </row>
    <row r="713" customFormat="false" ht="34.5" hidden="false" customHeight="true" outlineLevel="0" collapsed="false">
      <c r="A713" s="3" t="s">
        <v>658</v>
      </c>
      <c r="B713" s="3" t="s">
        <v>658</v>
      </c>
      <c r="C713" s="4" t="s">
        <v>15</v>
      </c>
      <c r="D713" s="3" t="s">
        <v>22</v>
      </c>
      <c r="E713" s="5" t="n">
        <v>150</v>
      </c>
      <c r="F713" s="3" t="s">
        <v>22</v>
      </c>
      <c r="G713" s="5" t="n">
        <v>150</v>
      </c>
      <c r="H713" s="5" t="n">
        <f aca="false">ROUND(ABS(G713)-ABS(E713),2)</f>
        <v>0</v>
      </c>
      <c r="I713" s="3" t="s">
        <v>661</v>
      </c>
      <c r="J713" s="3"/>
      <c r="K713" s="3"/>
      <c r="L713" s="3" t="s">
        <v>666</v>
      </c>
      <c r="M713" s="3" t="s">
        <v>667</v>
      </c>
      <c r="N713" s="3"/>
    </row>
    <row r="714" customFormat="false" ht="34.5" hidden="false" customHeight="true" outlineLevel="0" collapsed="false">
      <c r="A714" s="3" t="s">
        <v>658</v>
      </c>
      <c r="B714" s="3" t="s">
        <v>658</v>
      </c>
      <c r="C714" s="4" t="s">
        <v>15</v>
      </c>
      <c r="D714" s="3" t="s">
        <v>24</v>
      </c>
      <c r="E714" s="5" t="n">
        <v>869.48</v>
      </c>
      <c r="F714" s="3" t="s">
        <v>24</v>
      </c>
      <c r="G714" s="5" t="n">
        <v>869.48</v>
      </c>
      <c r="H714" s="5" t="n">
        <f aca="false">ROUND(ABS(G714)-ABS(E714),2)</f>
        <v>0</v>
      </c>
      <c r="I714" s="3" t="s">
        <v>661</v>
      </c>
      <c r="J714" s="3"/>
      <c r="K714" s="3"/>
      <c r="L714" s="3" t="s">
        <v>664</v>
      </c>
      <c r="M714" s="3" t="s">
        <v>668</v>
      </c>
      <c r="N714" s="3"/>
    </row>
    <row r="715" customFormat="false" ht="34.5" hidden="false" customHeight="true" outlineLevel="0" collapsed="false">
      <c r="A715" s="3" t="s">
        <v>658</v>
      </c>
      <c r="B715" s="3" t="s">
        <v>658</v>
      </c>
      <c r="C715" s="4" t="s">
        <v>15</v>
      </c>
      <c r="D715" s="3" t="s">
        <v>25</v>
      </c>
      <c r="E715" s="5" t="n">
        <v>37.36</v>
      </c>
      <c r="F715" s="3" t="s">
        <v>25</v>
      </c>
      <c r="G715" s="5" t="n">
        <v>37.36</v>
      </c>
      <c r="H715" s="5" t="n">
        <f aca="false">ROUND(ABS(G715)-ABS(E715),2)</f>
        <v>0</v>
      </c>
      <c r="I715" s="3" t="s">
        <v>661</v>
      </c>
      <c r="J715" s="3"/>
      <c r="K715" s="3"/>
      <c r="L715" s="3" t="s">
        <v>669</v>
      </c>
      <c r="M715" s="3" t="s">
        <v>670</v>
      </c>
      <c r="N715" s="3"/>
    </row>
    <row r="716" customFormat="false" ht="23.25" hidden="false" customHeight="true" outlineLevel="0" collapsed="false">
      <c r="A716" s="3" t="s">
        <v>658</v>
      </c>
      <c r="B716" s="3" t="s">
        <v>658</v>
      </c>
      <c r="C716" s="7" t="s">
        <v>37</v>
      </c>
      <c r="D716" s="3" t="s">
        <v>29</v>
      </c>
      <c r="E716" s="5" t="s">
        <v>37</v>
      </c>
      <c r="F716" s="3" t="s">
        <v>29</v>
      </c>
      <c r="G716" s="5" t="s">
        <v>37</v>
      </c>
      <c r="H716" s="5" t="s">
        <v>37</v>
      </c>
      <c r="I716" s="3" t="s">
        <v>661</v>
      </c>
      <c r="J716" s="3" t="s">
        <v>38</v>
      </c>
      <c r="K716" s="3"/>
      <c r="L716" s="3" t="s">
        <v>39</v>
      </c>
      <c r="M716" s="3"/>
      <c r="N716" s="3" t="s">
        <v>40</v>
      </c>
    </row>
    <row r="717" customFormat="false" ht="34.5" hidden="false" customHeight="true" outlineLevel="0" collapsed="false">
      <c r="A717" s="3" t="s">
        <v>658</v>
      </c>
      <c r="B717" s="3" t="s">
        <v>658</v>
      </c>
      <c r="C717" s="4" t="s">
        <v>15</v>
      </c>
      <c r="D717" s="3" t="s">
        <v>16</v>
      </c>
      <c r="E717" s="5" t="n">
        <v>3600</v>
      </c>
      <c r="F717" s="3" t="s">
        <v>16</v>
      </c>
      <c r="G717" s="5" t="n">
        <v>3600</v>
      </c>
      <c r="H717" s="5" t="n">
        <f aca="false">ROUND(ABS(G717)-ABS(E717),2)</f>
        <v>0</v>
      </c>
      <c r="I717" s="3" t="s">
        <v>671</v>
      </c>
      <c r="J717" s="3"/>
      <c r="K717" s="3"/>
      <c r="L717" s="3" t="s">
        <v>664</v>
      </c>
      <c r="M717" s="3" t="s">
        <v>672</v>
      </c>
      <c r="N717" s="3"/>
    </row>
    <row r="718" customFormat="false" ht="34.5" hidden="false" customHeight="true" outlineLevel="0" collapsed="false">
      <c r="A718" s="3" t="s">
        <v>658</v>
      </c>
      <c r="B718" s="3" t="s">
        <v>658</v>
      </c>
      <c r="C718" s="4" t="s">
        <v>15</v>
      </c>
      <c r="D718" s="3" t="s">
        <v>21</v>
      </c>
      <c r="E718" s="5" t="n">
        <v>760.15</v>
      </c>
      <c r="F718" s="3" t="s">
        <v>21</v>
      </c>
      <c r="G718" s="5" t="n">
        <v>760.15</v>
      </c>
      <c r="H718" s="5" t="n">
        <f aca="false">ROUND(ABS(G718)-ABS(E718),2)</f>
        <v>0</v>
      </c>
      <c r="I718" s="3" t="s">
        <v>671</v>
      </c>
      <c r="J718" s="3"/>
      <c r="K718" s="3"/>
      <c r="L718" s="3" t="s">
        <v>664</v>
      </c>
      <c r="M718" s="3" t="s">
        <v>673</v>
      </c>
      <c r="N718" s="3"/>
    </row>
    <row r="719" customFormat="false" ht="34.5" hidden="false" customHeight="true" outlineLevel="0" collapsed="false">
      <c r="A719" s="3" t="s">
        <v>658</v>
      </c>
      <c r="B719" s="3" t="s">
        <v>658</v>
      </c>
      <c r="C719" s="4" t="s">
        <v>15</v>
      </c>
      <c r="D719" s="3" t="s">
        <v>22</v>
      </c>
      <c r="E719" s="5" t="n">
        <v>75</v>
      </c>
      <c r="F719" s="3" t="s">
        <v>22</v>
      </c>
      <c r="G719" s="5" t="n">
        <v>75</v>
      </c>
      <c r="H719" s="5" t="n">
        <f aca="false">ROUND(ABS(G719)-ABS(E719),2)</f>
        <v>0</v>
      </c>
      <c r="I719" s="3" t="s">
        <v>671</v>
      </c>
      <c r="J719" s="3"/>
      <c r="K719" s="3"/>
      <c r="L719" s="3" t="s">
        <v>666</v>
      </c>
      <c r="M719" s="3" t="s">
        <v>674</v>
      </c>
      <c r="N719" s="3"/>
    </row>
    <row r="720" customFormat="false" ht="34.5" hidden="false" customHeight="true" outlineLevel="0" collapsed="false">
      <c r="A720" s="3" t="s">
        <v>658</v>
      </c>
      <c r="B720" s="3" t="s">
        <v>658</v>
      </c>
      <c r="C720" s="4" t="s">
        <v>15</v>
      </c>
      <c r="D720" s="3" t="s">
        <v>24</v>
      </c>
      <c r="E720" s="5" t="n">
        <v>1510</v>
      </c>
      <c r="F720" s="3" t="s">
        <v>24</v>
      </c>
      <c r="G720" s="5" t="n">
        <v>1510</v>
      </c>
      <c r="H720" s="5" t="n">
        <f aca="false">ROUND(ABS(G720)-ABS(E720),2)</f>
        <v>0</v>
      </c>
      <c r="I720" s="3" t="s">
        <v>671</v>
      </c>
      <c r="J720" s="3"/>
      <c r="K720" s="3"/>
      <c r="L720" s="3" t="s">
        <v>664</v>
      </c>
      <c r="M720" s="3" t="s">
        <v>675</v>
      </c>
      <c r="N720" s="3"/>
    </row>
    <row r="721" customFormat="false" ht="23.25" hidden="false" customHeight="true" outlineLevel="0" collapsed="false">
      <c r="A721" s="3" t="s">
        <v>658</v>
      </c>
      <c r="B721" s="3" t="s">
        <v>658</v>
      </c>
      <c r="C721" s="7" t="s">
        <v>37</v>
      </c>
      <c r="D721" s="3" t="s">
        <v>29</v>
      </c>
      <c r="E721" s="5" t="s">
        <v>37</v>
      </c>
      <c r="F721" s="3" t="s">
        <v>29</v>
      </c>
      <c r="G721" s="5" t="s">
        <v>37</v>
      </c>
      <c r="H721" s="5" t="s">
        <v>37</v>
      </c>
      <c r="I721" s="3" t="s">
        <v>671</v>
      </c>
      <c r="J721" s="3" t="s">
        <v>38</v>
      </c>
      <c r="K721" s="3"/>
      <c r="L721" s="3" t="s">
        <v>39</v>
      </c>
      <c r="M721" s="3"/>
      <c r="N721" s="3" t="s">
        <v>40</v>
      </c>
    </row>
    <row r="722" customFormat="false" ht="75.75" hidden="false" customHeight="true" outlineLevel="0" collapsed="false">
      <c r="A722" s="8" t="s">
        <v>658</v>
      </c>
      <c r="B722" s="8" t="s">
        <v>658</v>
      </c>
      <c r="C722" s="8" t="s">
        <v>28</v>
      </c>
      <c r="D722" s="8" t="s">
        <v>47</v>
      </c>
      <c r="E722" s="8" t="s">
        <v>676</v>
      </c>
      <c r="F722" s="8" t="s">
        <v>47</v>
      </c>
      <c r="G722" s="8" t="s">
        <v>214</v>
      </c>
      <c r="H722" s="8"/>
      <c r="I722" s="8" t="s">
        <v>49</v>
      </c>
      <c r="J722" s="8" t="s">
        <v>214</v>
      </c>
      <c r="K722" s="8"/>
      <c r="L722" s="8" t="s">
        <v>659</v>
      </c>
      <c r="M722" s="8" t="s">
        <v>660</v>
      </c>
      <c r="N722" s="8" t="s">
        <v>677</v>
      </c>
    </row>
    <row r="723" customFormat="false" ht="23.25" hidden="false" customHeight="true" outlineLevel="0" collapsed="false">
      <c r="A723" s="3" t="s">
        <v>678</v>
      </c>
      <c r="B723" s="3" t="s">
        <v>678</v>
      </c>
      <c r="C723" s="4" t="s">
        <v>15</v>
      </c>
      <c r="D723" s="3" t="s">
        <v>16</v>
      </c>
      <c r="E723" s="5" t="n">
        <v>6950</v>
      </c>
      <c r="F723" s="3" t="s">
        <v>16</v>
      </c>
      <c r="G723" s="5" t="n">
        <v>6950</v>
      </c>
      <c r="H723" s="5" t="n">
        <f aca="false">ROUND(ABS(G723)-ABS(E723),2)</f>
        <v>0</v>
      </c>
      <c r="I723" s="3" t="s">
        <v>17</v>
      </c>
      <c r="J723" s="3" t="s">
        <v>214</v>
      </c>
      <c r="K723" s="3"/>
      <c r="L723" s="3" t="s">
        <v>679</v>
      </c>
      <c r="M723" s="3" t="s">
        <v>680</v>
      </c>
      <c r="N723" s="3"/>
    </row>
    <row r="724" customFormat="false" ht="23.25" hidden="false" customHeight="true" outlineLevel="0" collapsed="false">
      <c r="A724" s="3" t="s">
        <v>678</v>
      </c>
      <c r="B724" s="3" t="s">
        <v>678</v>
      </c>
      <c r="C724" s="4" t="s">
        <v>15</v>
      </c>
      <c r="D724" s="3" t="s">
        <v>21</v>
      </c>
      <c r="E724" s="5" t="n">
        <v>1645.83</v>
      </c>
      <c r="F724" s="3" t="s">
        <v>21</v>
      </c>
      <c r="G724" s="5" t="n">
        <v>1645.83</v>
      </c>
      <c r="H724" s="5" t="n">
        <f aca="false">ROUND(ABS(G724)-ABS(E724),2)</f>
        <v>0</v>
      </c>
      <c r="I724" s="3" t="s">
        <v>17</v>
      </c>
      <c r="J724" s="3" t="s">
        <v>214</v>
      </c>
      <c r="K724" s="3"/>
      <c r="L724" s="3" t="s">
        <v>679</v>
      </c>
      <c r="M724" s="3" t="s">
        <v>680</v>
      </c>
      <c r="N724" s="3"/>
    </row>
    <row r="725" customFormat="false" ht="23.25" hidden="false" customHeight="true" outlineLevel="0" collapsed="false">
      <c r="A725" s="3" t="s">
        <v>678</v>
      </c>
      <c r="B725" s="3" t="s">
        <v>678</v>
      </c>
      <c r="C725" s="4" t="s">
        <v>15</v>
      </c>
      <c r="D725" s="3" t="s">
        <v>22</v>
      </c>
      <c r="E725" s="5" t="n">
        <v>15.25</v>
      </c>
      <c r="F725" s="3" t="s">
        <v>22</v>
      </c>
      <c r="G725" s="5" t="n">
        <v>15.25</v>
      </c>
      <c r="H725" s="5" t="n">
        <f aca="false">ROUND(ABS(G725)-ABS(E725),2)</f>
        <v>0</v>
      </c>
      <c r="I725" s="3" t="s">
        <v>17</v>
      </c>
      <c r="J725" s="3" t="s">
        <v>214</v>
      </c>
      <c r="K725" s="3"/>
      <c r="L725" s="3" t="s">
        <v>679</v>
      </c>
      <c r="M725" s="3" t="s">
        <v>680</v>
      </c>
      <c r="N725" s="3" t="s">
        <v>23</v>
      </c>
    </row>
    <row r="726" customFormat="false" ht="23.25" hidden="false" customHeight="true" outlineLevel="0" collapsed="false">
      <c r="A726" s="3" t="s">
        <v>678</v>
      </c>
      <c r="B726" s="3" t="s">
        <v>678</v>
      </c>
      <c r="C726" s="4" t="s">
        <v>15</v>
      </c>
      <c r="D726" s="3" t="s">
        <v>24</v>
      </c>
      <c r="E726" s="5" t="n">
        <v>5009.65</v>
      </c>
      <c r="F726" s="3" t="s">
        <v>24</v>
      </c>
      <c r="G726" s="5" t="n">
        <v>5009.65</v>
      </c>
      <c r="H726" s="5" t="n">
        <f aca="false">ROUND(ABS(G726)-ABS(E726),2)</f>
        <v>0</v>
      </c>
      <c r="I726" s="3" t="s">
        <v>17</v>
      </c>
      <c r="J726" s="3" t="s">
        <v>214</v>
      </c>
      <c r="K726" s="3"/>
      <c r="L726" s="3" t="s">
        <v>679</v>
      </c>
      <c r="M726" s="3" t="s">
        <v>680</v>
      </c>
      <c r="N726" s="3"/>
    </row>
    <row r="727" customFormat="false" ht="23.25" hidden="false" customHeight="true" outlineLevel="0" collapsed="false">
      <c r="A727" s="3" t="s">
        <v>678</v>
      </c>
      <c r="B727" s="3" t="s">
        <v>678</v>
      </c>
      <c r="C727" s="6" t="s">
        <v>28</v>
      </c>
      <c r="D727" s="3" t="s">
        <v>25</v>
      </c>
      <c r="E727" s="5" t="n">
        <v>188.15</v>
      </c>
      <c r="F727" s="3" t="s">
        <v>25</v>
      </c>
      <c r="G727" s="5" t="n">
        <v>235.89</v>
      </c>
      <c r="H727" s="5" t="n">
        <f aca="false">ROUND(ABS(G727)-ABS(E727),2)</f>
        <v>47.74</v>
      </c>
      <c r="I727" s="3" t="s">
        <v>17</v>
      </c>
      <c r="J727" s="3" t="s">
        <v>214</v>
      </c>
      <c r="K727" s="3"/>
      <c r="L727" s="3" t="s">
        <v>679</v>
      </c>
      <c r="M727" s="3" t="s">
        <v>680</v>
      </c>
      <c r="N727" s="3"/>
    </row>
    <row r="728" customFormat="false" ht="23.25" hidden="false" customHeight="true" outlineLevel="0" collapsed="false">
      <c r="A728" s="3" t="s">
        <v>678</v>
      </c>
      <c r="B728" s="3" t="s">
        <v>678</v>
      </c>
      <c r="C728" s="4" t="s">
        <v>15</v>
      </c>
      <c r="D728" s="3" t="s">
        <v>26</v>
      </c>
      <c r="E728" s="5" t="n">
        <v>0</v>
      </c>
      <c r="F728" s="3" t="s">
        <v>26</v>
      </c>
      <c r="G728" s="5" t="n">
        <v>0</v>
      </c>
      <c r="H728" s="5" t="n">
        <f aca="false">ROUND(ABS(G728)-ABS(E728),2)</f>
        <v>0</v>
      </c>
      <c r="I728" s="3" t="s">
        <v>17</v>
      </c>
      <c r="J728" s="3" t="s">
        <v>214</v>
      </c>
      <c r="K728" s="3"/>
      <c r="L728" s="3" t="s">
        <v>679</v>
      </c>
      <c r="M728" s="3" t="s">
        <v>680</v>
      </c>
      <c r="N728" s="3" t="s">
        <v>27</v>
      </c>
    </row>
    <row r="729" customFormat="false" ht="23.25" hidden="false" customHeight="true" outlineLevel="0" collapsed="false">
      <c r="A729" s="3" t="s">
        <v>678</v>
      </c>
      <c r="B729" s="3" t="s">
        <v>678</v>
      </c>
      <c r="C729" s="6" t="s">
        <v>28</v>
      </c>
      <c r="D729" s="3" t="s">
        <v>29</v>
      </c>
      <c r="E729" s="5" t="n">
        <v>50.87</v>
      </c>
      <c r="F729" s="3" t="s">
        <v>29</v>
      </c>
      <c r="G729" s="5" t="n">
        <v>-5074.57</v>
      </c>
      <c r="H729" s="5" t="n">
        <f aca="false">ROUND(ABS(G729)-ABS(E729),2)</f>
        <v>5023.7</v>
      </c>
      <c r="I729" s="3" t="s">
        <v>17</v>
      </c>
      <c r="J729" s="3" t="s">
        <v>214</v>
      </c>
      <c r="K729" s="3"/>
      <c r="L729" s="3" t="s">
        <v>679</v>
      </c>
      <c r="M729" s="3" t="s">
        <v>680</v>
      </c>
      <c r="N729" s="3" t="s">
        <v>30</v>
      </c>
    </row>
    <row r="730" customFormat="false" ht="34.5" hidden="false" customHeight="true" outlineLevel="0" collapsed="false">
      <c r="A730" s="3" t="s">
        <v>678</v>
      </c>
      <c r="B730" s="3" t="s">
        <v>678</v>
      </c>
      <c r="C730" s="4" t="s">
        <v>15</v>
      </c>
      <c r="D730" s="3" t="s">
        <v>16</v>
      </c>
      <c r="E730" s="5" t="n">
        <v>3700</v>
      </c>
      <c r="F730" s="3" t="s">
        <v>16</v>
      </c>
      <c r="G730" s="5" t="n">
        <v>3700</v>
      </c>
      <c r="H730" s="5" t="n">
        <f aca="false">ROUND(ABS(G730)-ABS(E730),2)</f>
        <v>0</v>
      </c>
      <c r="I730" s="3" t="s">
        <v>681</v>
      </c>
      <c r="J730" s="3"/>
      <c r="K730" s="3"/>
      <c r="L730" s="3" t="s">
        <v>682</v>
      </c>
      <c r="M730" s="3" t="s">
        <v>683</v>
      </c>
      <c r="N730" s="3"/>
    </row>
    <row r="731" customFormat="false" ht="34.5" hidden="false" customHeight="true" outlineLevel="0" collapsed="false">
      <c r="A731" s="3" t="s">
        <v>678</v>
      </c>
      <c r="B731" s="3" t="s">
        <v>678</v>
      </c>
      <c r="C731" s="4" t="s">
        <v>15</v>
      </c>
      <c r="D731" s="3" t="s">
        <v>21</v>
      </c>
      <c r="E731" s="5" t="n">
        <v>1003.06</v>
      </c>
      <c r="F731" s="3" t="s">
        <v>21</v>
      </c>
      <c r="G731" s="5" t="n">
        <v>1003.06</v>
      </c>
      <c r="H731" s="5" t="n">
        <f aca="false">ROUND(ABS(G731)-ABS(E731),2)</f>
        <v>0</v>
      </c>
      <c r="I731" s="3" t="s">
        <v>681</v>
      </c>
      <c r="J731" s="3"/>
      <c r="K731" s="3"/>
      <c r="L731" s="3" t="s">
        <v>682</v>
      </c>
      <c r="M731" s="3" t="s">
        <v>684</v>
      </c>
      <c r="N731" s="3"/>
    </row>
    <row r="732" customFormat="false" ht="34.5" hidden="false" customHeight="true" outlineLevel="0" collapsed="false">
      <c r="A732" s="3" t="s">
        <v>678</v>
      </c>
      <c r="B732" s="3" t="s">
        <v>678</v>
      </c>
      <c r="C732" s="4" t="s">
        <v>15</v>
      </c>
      <c r="D732" s="3" t="s">
        <v>22</v>
      </c>
      <c r="E732" s="5" t="n">
        <v>15.25</v>
      </c>
      <c r="F732" s="3" t="s">
        <v>22</v>
      </c>
      <c r="G732" s="5" t="n">
        <v>15.25</v>
      </c>
      <c r="H732" s="5" t="n">
        <f aca="false">ROUND(ABS(G732)-ABS(E732),2)</f>
        <v>0</v>
      </c>
      <c r="I732" s="3" t="s">
        <v>681</v>
      </c>
      <c r="J732" s="3"/>
      <c r="K732" s="3"/>
      <c r="L732" s="3" t="s">
        <v>685</v>
      </c>
      <c r="M732" s="3" t="s">
        <v>686</v>
      </c>
      <c r="N732" s="3"/>
    </row>
    <row r="733" customFormat="false" ht="45.75" hidden="false" customHeight="true" outlineLevel="0" collapsed="false">
      <c r="A733" s="3" t="s">
        <v>678</v>
      </c>
      <c r="B733" s="3" t="s">
        <v>678</v>
      </c>
      <c r="C733" s="4" t="s">
        <v>15</v>
      </c>
      <c r="D733" s="3" t="s">
        <v>24</v>
      </c>
      <c r="E733" s="5" t="n">
        <v>3049.28</v>
      </c>
      <c r="F733" s="3" t="s">
        <v>24</v>
      </c>
      <c r="G733" s="5" t="n">
        <v>3049.28</v>
      </c>
      <c r="H733" s="5" t="n">
        <f aca="false">ROUND(ABS(G733)-ABS(E733),2)</f>
        <v>0</v>
      </c>
      <c r="I733" s="3" t="s">
        <v>681</v>
      </c>
      <c r="J733" s="3"/>
      <c r="K733" s="3"/>
      <c r="L733" s="3" t="s">
        <v>682</v>
      </c>
      <c r="M733" s="3" t="s">
        <v>687</v>
      </c>
      <c r="N733" s="3"/>
    </row>
    <row r="734" customFormat="false" ht="23.25" hidden="false" customHeight="true" outlineLevel="0" collapsed="false">
      <c r="A734" s="3" t="s">
        <v>678</v>
      </c>
      <c r="B734" s="3" t="s">
        <v>678</v>
      </c>
      <c r="C734" s="7" t="s">
        <v>37</v>
      </c>
      <c r="D734" s="3" t="s">
        <v>25</v>
      </c>
      <c r="E734" s="5" t="n">
        <v>0</v>
      </c>
      <c r="F734" s="3" t="s">
        <v>25</v>
      </c>
      <c r="G734" s="5" t="n">
        <v>62.99</v>
      </c>
      <c r="H734" s="5" t="n">
        <f aca="false">ROUND(ABS(G734)-ABS(E734),2)</f>
        <v>62.99</v>
      </c>
      <c r="I734" s="3" t="s">
        <v>681</v>
      </c>
      <c r="J734" s="3"/>
      <c r="K734" s="3"/>
      <c r="L734" s="3" t="s">
        <v>688</v>
      </c>
      <c r="M734" s="3" t="s">
        <v>689</v>
      </c>
      <c r="N734" s="3" t="s">
        <v>62</v>
      </c>
    </row>
    <row r="735" customFormat="false" ht="23.25" hidden="false" customHeight="true" outlineLevel="0" collapsed="false">
      <c r="A735" s="3" t="s">
        <v>678</v>
      </c>
      <c r="B735" s="3" t="s">
        <v>678</v>
      </c>
      <c r="C735" s="7" t="s">
        <v>37</v>
      </c>
      <c r="D735" s="3" t="s">
        <v>29</v>
      </c>
      <c r="E735" s="5" t="s">
        <v>37</v>
      </c>
      <c r="F735" s="3" t="s">
        <v>29</v>
      </c>
      <c r="G735" s="5" t="s">
        <v>37</v>
      </c>
      <c r="H735" s="5" t="s">
        <v>37</v>
      </c>
      <c r="I735" s="3" t="s">
        <v>681</v>
      </c>
      <c r="J735" s="3" t="s">
        <v>38</v>
      </c>
      <c r="K735" s="3"/>
      <c r="L735" s="3" t="s">
        <v>39</v>
      </c>
      <c r="M735" s="3"/>
      <c r="N735" s="3" t="s">
        <v>40</v>
      </c>
    </row>
    <row r="736" customFormat="false" ht="34.5" hidden="false" customHeight="true" outlineLevel="0" collapsed="false">
      <c r="A736" s="3" t="s">
        <v>678</v>
      </c>
      <c r="B736" s="3" t="s">
        <v>678</v>
      </c>
      <c r="C736" s="4" t="s">
        <v>15</v>
      </c>
      <c r="D736" s="3" t="s">
        <v>16</v>
      </c>
      <c r="E736" s="5" t="n">
        <v>3250</v>
      </c>
      <c r="F736" s="3" t="s">
        <v>16</v>
      </c>
      <c r="G736" s="5" t="n">
        <v>3250</v>
      </c>
      <c r="H736" s="5" t="n">
        <f aca="false">ROUND(ABS(G736)-ABS(E736),2)</f>
        <v>0</v>
      </c>
      <c r="I736" s="3" t="s">
        <v>690</v>
      </c>
      <c r="J736" s="3"/>
      <c r="K736" s="3"/>
      <c r="L736" s="3" t="s">
        <v>682</v>
      </c>
      <c r="M736" s="3" t="s">
        <v>691</v>
      </c>
      <c r="N736" s="3"/>
    </row>
    <row r="737" customFormat="false" ht="34.5" hidden="false" customHeight="true" outlineLevel="0" collapsed="false">
      <c r="A737" s="3" t="s">
        <v>678</v>
      </c>
      <c r="B737" s="3" t="s">
        <v>678</v>
      </c>
      <c r="C737" s="4" t="s">
        <v>15</v>
      </c>
      <c r="D737" s="3" t="s">
        <v>21</v>
      </c>
      <c r="E737" s="5" t="n">
        <v>642.77</v>
      </c>
      <c r="F737" s="3" t="s">
        <v>21</v>
      </c>
      <c r="G737" s="5" t="n">
        <v>642.77</v>
      </c>
      <c r="H737" s="5" t="n">
        <f aca="false">ROUND(ABS(G737)-ABS(E737),2)</f>
        <v>0</v>
      </c>
      <c r="I737" s="3" t="s">
        <v>690</v>
      </c>
      <c r="J737" s="3"/>
      <c r="K737" s="3"/>
      <c r="L737" s="3" t="s">
        <v>682</v>
      </c>
      <c r="M737" s="3" t="s">
        <v>692</v>
      </c>
      <c r="N737" s="3"/>
    </row>
    <row r="738" customFormat="false" ht="34.5" hidden="false" customHeight="true" outlineLevel="0" collapsed="false">
      <c r="A738" s="3" t="s">
        <v>678</v>
      </c>
      <c r="B738" s="3" t="s">
        <v>678</v>
      </c>
      <c r="C738" s="4" t="s">
        <v>15</v>
      </c>
      <c r="D738" s="3" t="s">
        <v>24</v>
      </c>
      <c r="E738" s="5" t="n">
        <v>1960.37</v>
      </c>
      <c r="F738" s="3" t="s">
        <v>24</v>
      </c>
      <c r="G738" s="5" t="n">
        <v>1960.37</v>
      </c>
      <c r="H738" s="5" t="n">
        <f aca="false">ROUND(ABS(G738)-ABS(E738),2)</f>
        <v>0</v>
      </c>
      <c r="I738" s="3" t="s">
        <v>690</v>
      </c>
      <c r="J738" s="3"/>
      <c r="K738" s="3"/>
      <c r="L738" s="3" t="s">
        <v>682</v>
      </c>
      <c r="M738" s="3" t="s">
        <v>693</v>
      </c>
      <c r="N738" s="3"/>
    </row>
    <row r="739" customFormat="false" ht="34.5" hidden="false" customHeight="true" outlineLevel="0" collapsed="false">
      <c r="A739" s="3" t="s">
        <v>678</v>
      </c>
      <c r="B739" s="3" t="s">
        <v>678</v>
      </c>
      <c r="C739" s="7" t="s">
        <v>37</v>
      </c>
      <c r="D739" s="3" t="s">
        <v>25</v>
      </c>
      <c r="E739" s="5" t="n">
        <v>24.67</v>
      </c>
      <c r="F739" s="3" t="s">
        <v>25</v>
      </c>
      <c r="G739" s="5" t="n">
        <v>172.9</v>
      </c>
      <c r="H739" s="5" t="n">
        <f aca="false">ROUND(ABS(G739)-ABS(E739),2)</f>
        <v>148.23</v>
      </c>
      <c r="I739" s="3" t="s">
        <v>690</v>
      </c>
      <c r="J739" s="3"/>
      <c r="K739" s="3"/>
      <c r="L739" s="3" t="s">
        <v>694</v>
      </c>
      <c r="M739" s="3" t="s">
        <v>695</v>
      </c>
      <c r="N739" s="3" t="s">
        <v>62</v>
      </c>
    </row>
    <row r="740" customFormat="false" ht="23.25" hidden="false" customHeight="true" outlineLevel="0" collapsed="false">
      <c r="A740" s="3" t="s">
        <v>678</v>
      </c>
      <c r="B740" s="3" t="s">
        <v>678</v>
      </c>
      <c r="C740" s="7" t="s">
        <v>37</v>
      </c>
      <c r="D740" s="3" t="s">
        <v>29</v>
      </c>
      <c r="E740" s="5" t="s">
        <v>37</v>
      </c>
      <c r="F740" s="3" t="s">
        <v>29</v>
      </c>
      <c r="G740" s="5" t="s">
        <v>37</v>
      </c>
      <c r="H740" s="5" t="s">
        <v>37</v>
      </c>
      <c r="I740" s="3" t="s">
        <v>690</v>
      </c>
      <c r="J740" s="3" t="s">
        <v>38</v>
      </c>
      <c r="K740" s="3"/>
      <c r="L740" s="3" t="s">
        <v>39</v>
      </c>
      <c r="M740" s="3"/>
      <c r="N740" s="3" t="s">
        <v>40</v>
      </c>
    </row>
    <row r="741" customFormat="false" ht="15" hidden="false" customHeight="true" outlineLevel="0" collapsed="false">
      <c r="A741" s="3" t="s">
        <v>678</v>
      </c>
      <c r="B741" s="3" t="s">
        <v>678</v>
      </c>
      <c r="C741" s="7" t="s">
        <v>37</v>
      </c>
      <c r="D741" s="3" t="s">
        <v>25</v>
      </c>
      <c r="E741" s="5" t="n">
        <v>163.48</v>
      </c>
      <c r="F741" s="3" t="s">
        <v>25</v>
      </c>
      <c r="G741" s="5" t="s">
        <v>37</v>
      </c>
      <c r="H741" s="5" t="s">
        <v>37</v>
      </c>
      <c r="I741" s="3" t="s">
        <v>70</v>
      </c>
      <c r="J741" s="3" t="s">
        <v>71</v>
      </c>
      <c r="K741" s="3"/>
      <c r="L741" s="3" t="s">
        <v>72</v>
      </c>
      <c r="M741" s="3"/>
      <c r="N741" s="3" t="s">
        <v>73</v>
      </c>
    </row>
    <row r="742" customFormat="false" ht="75.75" hidden="false" customHeight="true" outlineLevel="0" collapsed="false">
      <c r="A742" s="8" t="s">
        <v>678</v>
      </c>
      <c r="B742" s="8" t="s">
        <v>678</v>
      </c>
      <c r="C742" s="8" t="s">
        <v>28</v>
      </c>
      <c r="D742" s="8" t="s">
        <v>47</v>
      </c>
      <c r="E742" s="8" t="s">
        <v>696</v>
      </c>
      <c r="F742" s="8" t="s">
        <v>47</v>
      </c>
      <c r="G742" s="8" t="s">
        <v>214</v>
      </c>
      <c r="H742" s="8"/>
      <c r="I742" s="8" t="s">
        <v>49</v>
      </c>
      <c r="J742" s="8" t="s">
        <v>214</v>
      </c>
      <c r="K742" s="8"/>
      <c r="L742" s="8" t="s">
        <v>679</v>
      </c>
      <c r="M742" s="8" t="s">
        <v>680</v>
      </c>
      <c r="N742" s="8" t="s">
        <v>697</v>
      </c>
    </row>
    <row r="743" customFormat="false" ht="23.25" hidden="false" customHeight="true" outlineLevel="0" collapsed="false">
      <c r="A743" s="3" t="s">
        <v>698</v>
      </c>
      <c r="B743" s="3" t="s">
        <v>698</v>
      </c>
      <c r="C743" s="4" t="s">
        <v>15</v>
      </c>
      <c r="D743" s="3" t="s">
        <v>16</v>
      </c>
      <c r="E743" s="5" t="n">
        <v>9300</v>
      </c>
      <c r="F743" s="3" t="s">
        <v>16</v>
      </c>
      <c r="G743" s="5" t="n">
        <v>9300</v>
      </c>
      <c r="H743" s="5" t="n">
        <f aca="false">ROUND(ABS(G743)-ABS(E743),2)</f>
        <v>0</v>
      </c>
      <c r="I743" s="3" t="s">
        <v>17</v>
      </c>
      <c r="J743" s="3" t="s">
        <v>214</v>
      </c>
      <c r="K743" s="3"/>
      <c r="L743" s="3" t="s">
        <v>699</v>
      </c>
      <c r="M743" s="3" t="s">
        <v>700</v>
      </c>
      <c r="N743" s="3"/>
    </row>
    <row r="744" customFormat="false" ht="23.25" hidden="false" customHeight="true" outlineLevel="0" collapsed="false">
      <c r="A744" s="3" t="s">
        <v>698</v>
      </c>
      <c r="B744" s="3" t="s">
        <v>698</v>
      </c>
      <c r="C744" s="4" t="s">
        <v>15</v>
      </c>
      <c r="D744" s="3" t="s">
        <v>21</v>
      </c>
      <c r="E744" s="5" t="n">
        <v>1902.65</v>
      </c>
      <c r="F744" s="3" t="s">
        <v>21</v>
      </c>
      <c r="G744" s="5" t="n">
        <v>1902.65</v>
      </c>
      <c r="H744" s="5" t="n">
        <f aca="false">ROUND(ABS(G744)-ABS(E744),2)</f>
        <v>0</v>
      </c>
      <c r="I744" s="3" t="s">
        <v>17</v>
      </c>
      <c r="J744" s="3" t="s">
        <v>214</v>
      </c>
      <c r="K744" s="3"/>
      <c r="L744" s="3" t="s">
        <v>699</v>
      </c>
      <c r="M744" s="3" t="s">
        <v>700</v>
      </c>
      <c r="N744" s="3"/>
    </row>
    <row r="745" customFormat="false" ht="23.25" hidden="false" customHeight="true" outlineLevel="0" collapsed="false">
      <c r="A745" s="3" t="s">
        <v>698</v>
      </c>
      <c r="B745" s="3" t="s">
        <v>698</v>
      </c>
      <c r="C745" s="4" t="s">
        <v>15</v>
      </c>
      <c r="D745" s="3" t="s">
        <v>22</v>
      </c>
      <c r="E745" s="5" t="n">
        <v>110</v>
      </c>
      <c r="F745" s="3" t="s">
        <v>22</v>
      </c>
      <c r="G745" s="5" t="n">
        <v>110</v>
      </c>
      <c r="H745" s="5" t="n">
        <f aca="false">ROUND(ABS(G745)-ABS(E745),2)</f>
        <v>0</v>
      </c>
      <c r="I745" s="3" t="s">
        <v>17</v>
      </c>
      <c r="J745" s="3" t="s">
        <v>214</v>
      </c>
      <c r="K745" s="3"/>
      <c r="L745" s="3" t="s">
        <v>699</v>
      </c>
      <c r="M745" s="3" t="s">
        <v>700</v>
      </c>
      <c r="N745" s="3" t="s">
        <v>23</v>
      </c>
    </row>
    <row r="746" customFormat="false" ht="23.25" hidden="false" customHeight="true" outlineLevel="0" collapsed="false">
      <c r="A746" s="3" t="s">
        <v>698</v>
      </c>
      <c r="B746" s="3" t="s">
        <v>698</v>
      </c>
      <c r="C746" s="4" t="s">
        <v>15</v>
      </c>
      <c r="D746" s="3" t="s">
        <v>24</v>
      </c>
      <c r="E746" s="5" t="n">
        <v>4304.04</v>
      </c>
      <c r="F746" s="3" t="s">
        <v>24</v>
      </c>
      <c r="G746" s="5" t="n">
        <v>4304.04</v>
      </c>
      <c r="H746" s="5" t="n">
        <f aca="false">ROUND(ABS(G746)-ABS(E746),2)</f>
        <v>0</v>
      </c>
      <c r="I746" s="3" t="s">
        <v>17</v>
      </c>
      <c r="J746" s="3" t="s">
        <v>214</v>
      </c>
      <c r="K746" s="3"/>
      <c r="L746" s="3" t="s">
        <v>699</v>
      </c>
      <c r="M746" s="3" t="s">
        <v>700</v>
      </c>
      <c r="N746" s="3"/>
    </row>
    <row r="747" customFormat="false" ht="23.25" hidden="false" customHeight="true" outlineLevel="0" collapsed="false">
      <c r="A747" s="3" t="s">
        <v>698</v>
      </c>
      <c r="B747" s="3" t="s">
        <v>698</v>
      </c>
      <c r="C747" s="4" t="s">
        <v>15</v>
      </c>
      <c r="D747" s="3" t="s">
        <v>25</v>
      </c>
      <c r="E747" s="5" t="n">
        <v>173.59</v>
      </c>
      <c r="F747" s="3" t="s">
        <v>25</v>
      </c>
      <c r="G747" s="5" t="n">
        <v>173.59</v>
      </c>
      <c r="H747" s="5" t="n">
        <f aca="false">ROUND(ABS(G747)-ABS(E747),2)</f>
        <v>0</v>
      </c>
      <c r="I747" s="3" t="s">
        <v>17</v>
      </c>
      <c r="J747" s="3" t="s">
        <v>214</v>
      </c>
      <c r="K747" s="3"/>
      <c r="L747" s="3" t="s">
        <v>699</v>
      </c>
      <c r="M747" s="3" t="s">
        <v>700</v>
      </c>
      <c r="N747" s="3"/>
    </row>
    <row r="748" customFormat="false" ht="23.25" hidden="false" customHeight="true" outlineLevel="0" collapsed="false">
      <c r="A748" s="3" t="s">
        <v>698</v>
      </c>
      <c r="B748" s="3" t="s">
        <v>698</v>
      </c>
      <c r="C748" s="4" t="s">
        <v>15</v>
      </c>
      <c r="D748" s="3" t="s">
        <v>26</v>
      </c>
      <c r="E748" s="5" t="n">
        <v>0</v>
      </c>
      <c r="F748" s="3" t="s">
        <v>26</v>
      </c>
      <c r="G748" s="5" t="n">
        <v>0</v>
      </c>
      <c r="H748" s="5" t="n">
        <f aca="false">ROUND(ABS(G748)-ABS(E748),2)</f>
        <v>0</v>
      </c>
      <c r="I748" s="3" t="s">
        <v>17</v>
      </c>
      <c r="J748" s="3" t="s">
        <v>214</v>
      </c>
      <c r="K748" s="3"/>
      <c r="L748" s="3" t="s">
        <v>699</v>
      </c>
      <c r="M748" s="3" t="s">
        <v>700</v>
      </c>
      <c r="N748" s="3" t="s">
        <v>27</v>
      </c>
    </row>
    <row r="749" customFormat="false" ht="23.25" hidden="false" customHeight="true" outlineLevel="0" collapsed="false">
      <c r="A749" s="3" t="s">
        <v>698</v>
      </c>
      <c r="B749" s="3" t="s">
        <v>698</v>
      </c>
      <c r="C749" s="6" t="s">
        <v>28</v>
      </c>
      <c r="D749" s="3" t="s">
        <v>29</v>
      </c>
      <c r="E749" s="5" t="n">
        <v>2680.22</v>
      </c>
      <c r="F749" s="3" t="s">
        <v>29</v>
      </c>
      <c r="G749" s="5" t="n">
        <v>-1494.32</v>
      </c>
      <c r="H749" s="5" t="n">
        <f aca="false">ROUND(ABS(G749)-ABS(E749),2)</f>
        <v>-1185.9</v>
      </c>
      <c r="I749" s="3" t="s">
        <v>17</v>
      </c>
      <c r="J749" s="3" t="s">
        <v>214</v>
      </c>
      <c r="K749" s="3"/>
      <c r="L749" s="3" t="s">
        <v>699</v>
      </c>
      <c r="M749" s="3" t="s">
        <v>700</v>
      </c>
      <c r="N749" s="3" t="s">
        <v>30</v>
      </c>
    </row>
    <row r="750" customFormat="false" ht="34.5" hidden="false" customHeight="true" outlineLevel="0" collapsed="false">
      <c r="A750" s="3" t="s">
        <v>698</v>
      </c>
      <c r="B750" s="3" t="s">
        <v>698</v>
      </c>
      <c r="C750" s="4" t="s">
        <v>15</v>
      </c>
      <c r="D750" s="3" t="s">
        <v>16</v>
      </c>
      <c r="E750" s="5" t="n">
        <v>4900</v>
      </c>
      <c r="F750" s="3" t="s">
        <v>16</v>
      </c>
      <c r="G750" s="5" t="n">
        <v>4900</v>
      </c>
      <c r="H750" s="5" t="n">
        <f aca="false">ROUND(ABS(G750)-ABS(E750),2)</f>
        <v>0</v>
      </c>
      <c r="I750" s="3" t="s">
        <v>701</v>
      </c>
      <c r="J750" s="3"/>
      <c r="K750" s="3"/>
      <c r="L750" s="3" t="s">
        <v>702</v>
      </c>
      <c r="M750" s="3" t="s">
        <v>703</v>
      </c>
      <c r="N750" s="3"/>
    </row>
    <row r="751" customFormat="false" ht="34.5" hidden="false" customHeight="true" outlineLevel="0" collapsed="false">
      <c r="A751" s="3" t="s">
        <v>698</v>
      </c>
      <c r="B751" s="3" t="s">
        <v>698</v>
      </c>
      <c r="C751" s="4" t="s">
        <v>15</v>
      </c>
      <c r="D751" s="3" t="s">
        <v>21</v>
      </c>
      <c r="E751" s="5" t="n">
        <v>945.1</v>
      </c>
      <c r="F751" s="3" t="s">
        <v>21</v>
      </c>
      <c r="G751" s="5" t="n">
        <v>945.1</v>
      </c>
      <c r="H751" s="5" t="n">
        <f aca="false">ROUND(ABS(G751)-ABS(E751),2)</f>
        <v>0</v>
      </c>
      <c r="I751" s="3" t="s">
        <v>701</v>
      </c>
      <c r="J751" s="3"/>
      <c r="K751" s="3"/>
      <c r="L751" s="3" t="s">
        <v>702</v>
      </c>
      <c r="M751" s="3" t="s">
        <v>704</v>
      </c>
      <c r="N751" s="3"/>
    </row>
    <row r="752" customFormat="false" ht="34.5" hidden="false" customHeight="true" outlineLevel="0" collapsed="false">
      <c r="A752" s="3" t="s">
        <v>698</v>
      </c>
      <c r="B752" s="3" t="s">
        <v>698</v>
      </c>
      <c r="C752" s="4" t="s">
        <v>15</v>
      </c>
      <c r="D752" s="3" t="s">
        <v>22</v>
      </c>
      <c r="E752" s="5" t="n">
        <v>60</v>
      </c>
      <c r="F752" s="3" t="s">
        <v>22</v>
      </c>
      <c r="G752" s="5" t="n">
        <v>60</v>
      </c>
      <c r="H752" s="5" t="n">
        <f aca="false">ROUND(ABS(G752)-ABS(E752),2)</f>
        <v>0</v>
      </c>
      <c r="I752" s="3" t="s">
        <v>701</v>
      </c>
      <c r="J752" s="3"/>
      <c r="K752" s="3"/>
      <c r="L752" s="3" t="s">
        <v>705</v>
      </c>
      <c r="M752" s="3" t="s">
        <v>706</v>
      </c>
      <c r="N752" s="3"/>
    </row>
    <row r="753" customFormat="false" ht="34.5" hidden="false" customHeight="true" outlineLevel="0" collapsed="false">
      <c r="A753" s="3" t="s">
        <v>698</v>
      </c>
      <c r="B753" s="3" t="s">
        <v>698</v>
      </c>
      <c r="C753" s="4" t="s">
        <v>15</v>
      </c>
      <c r="D753" s="3" t="s">
        <v>24</v>
      </c>
      <c r="E753" s="5" t="n">
        <v>2094.1</v>
      </c>
      <c r="F753" s="3" t="s">
        <v>24</v>
      </c>
      <c r="G753" s="5" t="n">
        <v>2094.1</v>
      </c>
      <c r="H753" s="5" t="n">
        <f aca="false">ROUND(ABS(G753)-ABS(E753),2)</f>
        <v>0</v>
      </c>
      <c r="I753" s="3" t="s">
        <v>701</v>
      </c>
      <c r="J753" s="3"/>
      <c r="K753" s="3"/>
      <c r="L753" s="3" t="s">
        <v>702</v>
      </c>
      <c r="M753" s="3" t="s">
        <v>707</v>
      </c>
      <c r="N753" s="3"/>
    </row>
    <row r="754" customFormat="false" ht="34.5" hidden="false" customHeight="true" outlineLevel="0" collapsed="false">
      <c r="A754" s="3" t="s">
        <v>698</v>
      </c>
      <c r="B754" s="3" t="s">
        <v>698</v>
      </c>
      <c r="C754" s="7" t="s">
        <v>37</v>
      </c>
      <c r="D754" s="3" t="s">
        <v>25</v>
      </c>
      <c r="E754" s="5" t="n">
        <v>75.9</v>
      </c>
      <c r="F754" s="3" t="s">
        <v>25</v>
      </c>
      <c r="G754" s="5" t="n">
        <v>85.9</v>
      </c>
      <c r="H754" s="5" t="n">
        <f aca="false">ROUND(ABS(G754)-ABS(E754),2)</f>
        <v>10</v>
      </c>
      <c r="I754" s="3" t="s">
        <v>701</v>
      </c>
      <c r="J754" s="3"/>
      <c r="K754" s="3"/>
      <c r="L754" s="3" t="s">
        <v>708</v>
      </c>
      <c r="M754" s="3" t="s">
        <v>709</v>
      </c>
      <c r="N754" s="3" t="s">
        <v>62</v>
      </c>
    </row>
    <row r="755" customFormat="false" ht="23.25" hidden="false" customHeight="true" outlineLevel="0" collapsed="false">
      <c r="A755" s="3" t="s">
        <v>698</v>
      </c>
      <c r="B755" s="3" t="s">
        <v>698</v>
      </c>
      <c r="C755" s="7" t="s">
        <v>37</v>
      </c>
      <c r="D755" s="3" t="s">
        <v>29</v>
      </c>
      <c r="E755" s="5" t="s">
        <v>37</v>
      </c>
      <c r="F755" s="3" t="s">
        <v>29</v>
      </c>
      <c r="G755" s="5" t="s">
        <v>37</v>
      </c>
      <c r="H755" s="5" t="s">
        <v>37</v>
      </c>
      <c r="I755" s="3" t="s">
        <v>701</v>
      </c>
      <c r="J755" s="3" t="s">
        <v>38</v>
      </c>
      <c r="K755" s="3"/>
      <c r="L755" s="3" t="s">
        <v>39</v>
      </c>
      <c r="M755" s="3"/>
      <c r="N755" s="3" t="s">
        <v>40</v>
      </c>
    </row>
    <row r="756" customFormat="false" ht="34.5" hidden="false" customHeight="true" outlineLevel="0" collapsed="false">
      <c r="A756" s="3" t="s">
        <v>698</v>
      </c>
      <c r="B756" s="3" t="s">
        <v>698</v>
      </c>
      <c r="C756" s="4" t="s">
        <v>15</v>
      </c>
      <c r="D756" s="3" t="s">
        <v>16</v>
      </c>
      <c r="E756" s="5" t="n">
        <v>4400</v>
      </c>
      <c r="F756" s="3" t="s">
        <v>16</v>
      </c>
      <c r="G756" s="5" t="n">
        <v>4400</v>
      </c>
      <c r="H756" s="5" t="n">
        <f aca="false">ROUND(ABS(G756)-ABS(E756),2)</f>
        <v>0</v>
      </c>
      <c r="I756" s="3" t="s">
        <v>710</v>
      </c>
      <c r="J756" s="3"/>
      <c r="K756" s="3"/>
      <c r="L756" s="3" t="s">
        <v>702</v>
      </c>
      <c r="M756" s="3" t="s">
        <v>711</v>
      </c>
      <c r="N756" s="3"/>
    </row>
    <row r="757" customFormat="false" ht="34.5" hidden="false" customHeight="true" outlineLevel="0" collapsed="false">
      <c r="A757" s="3" t="s">
        <v>698</v>
      </c>
      <c r="B757" s="3" t="s">
        <v>698</v>
      </c>
      <c r="C757" s="4" t="s">
        <v>15</v>
      </c>
      <c r="D757" s="3" t="s">
        <v>21</v>
      </c>
      <c r="E757" s="5" t="n">
        <v>957.55</v>
      </c>
      <c r="F757" s="3" t="s">
        <v>21</v>
      </c>
      <c r="G757" s="5" t="n">
        <v>957.55</v>
      </c>
      <c r="H757" s="5" t="n">
        <f aca="false">ROUND(ABS(G757)-ABS(E757),2)</f>
        <v>0</v>
      </c>
      <c r="I757" s="3" t="s">
        <v>710</v>
      </c>
      <c r="J757" s="3"/>
      <c r="K757" s="3"/>
      <c r="L757" s="3" t="s">
        <v>702</v>
      </c>
      <c r="M757" s="3" t="s">
        <v>712</v>
      </c>
      <c r="N757" s="3"/>
    </row>
    <row r="758" customFormat="false" ht="34.5" hidden="false" customHeight="true" outlineLevel="0" collapsed="false">
      <c r="A758" s="3" t="s">
        <v>698</v>
      </c>
      <c r="B758" s="3" t="s">
        <v>698</v>
      </c>
      <c r="C758" s="4" t="s">
        <v>15</v>
      </c>
      <c r="D758" s="3" t="s">
        <v>22</v>
      </c>
      <c r="E758" s="5" t="n">
        <v>50</v>
      </c>
      <c r="F758" s="3" t="s">
        <v>22</v>
      </c>
      <c r="G758" s="5" t="n">
        <v>50</v>
      </c>
      <c r="H758" s="5" t="n">
        <f aca="false">ROUND(ABS(G758)-ABS(E758),2)</f>
        <v>0</v>
      </c>
      <c r="I758" s="3" t="s">
        <v>710</v>
      </c>
      <c r="J758" s="3"/>
      <c r="K758" s="3"/>
      <c r="L758" s="3" t="s">
        <v>705</v>
      </c>
      <c r="M758" s="3" t="s">
        <v>713</v>
      </c>
      <c r="N758" s="3"/>
    </row>
    <row r="759" customFormat="false" ht="34.5" hidden="false" customHeight="true" outlineLevel="0" collapsed="false">
      <c r="A759" s="3" t="s">
        <v>698</v>
      </c>
      <c r="B759" s="3" t="s">
        <v>698</v>
      </c>
      <c r="C759" s="4" t="s">
        <v>15</v>
      </c>
      <c r="D759" s="3" t="s">
        <v>24</v>
      </c>
      <c r="E759" s="5" t="n">
        <v>2209.94</v>
      </c>
      <c r="F759" s="3" t="s">
        <v>24</v>
      </c>
      <c r="G759" s="5" t="n">
        <v>2209.94</v>
      </c>
      <c r="H759" s="5" t="n">
        <f aca="false">ROUND(ABS(G759)-ABS(E759),2)</f>
        <v>0</v>
      </c>
      <c r="I759" s="3" t="s">
        <v>710</v>
      </c>
      <c r="J759" s="3"/>
      <c r="K759" s="3"/>
      <c r="L759" s="3" t="s">
        <v>702</v>
      </c>
      <c r="M759" s="3" t="s">
        <v>714</v>
      </c>
      <c r="N759" s="3"/>
    </row>
    <row r="760" customFormat="false" ht="34.5" hidden="false" customHeight="true" outlineLevel="0" collapsed="false">
      <c r="A760" s="3" t="s">
        <v>698</v>
      </c>
      <c r="B760" s="3" t="s">
        <v>698</v>
      </c>
      <c r="C760" s="4" t="s">
        <v>15</v>
      </c>
      <c r="D760" s="3" t="s">
        <v>25</v>
      </c>
      <c r="E760" s="5" t="n">
        <v>87.69</v>
      </c>
      <c r="F760" s="3" t="s">
        <v>25</v>
      </c>
      <c r="G760" s="5" t="n">
        <v>87.69</v>
      </c>
      <c r="H760" s="5" t="n">
        <f aca="false">ROUND(ABS(G760)-ABS(E760),2)</f>
        <v>0</v>
      </c>
      <c r="I760" s="3" t="s">
        <v>710</v>
      </c>
      <c r="J760" s="3"/>
      <c r="K760" s="3"/>
      <c r="L760" s="3" t="s">
        <v>708</v>
      </c>
      <c r="M760" s="3" t="s">
        <v>715</v>
      </c>
      <c r="N760" s="3" t="s">
        <v>62</v>
      </c>
    </row>
    <row r="761" customFormat="false" ht="23.25" hidden="false" customHeight="true" outlineLevel="0" collapsed="false">
      <c r="A761" s="3" t="s">
        <v>698</v>
      </c>
      <c r="B761" s="3" t="s">
        <v>698</v>
      </c>
      <c r="C761" s="7" t="s">
        <v>37</v>
      </c>
      <c r="D761" s="3" t="s">
        <v>29</v>
      </c>
      <c r="E761" s="5" t="s">
        <v>37</v>
      </c>
      <c r="F761" s="3" t="s">
        <v>29</v>
      </c>
      <c r="G761" s="5" t="s">
        <v>37</v>
      </c>
      <c r="H761" s="5" t="s">
        <v>37</v>
      </c>
      <c r="I761" s="3" t="s">
        <v>710</v>
      </c>
      <c r="J761" s="3" t="s">
        <v>38</v>
      </c>
      <c r="K761" s="3"/>
      <c r="L761" s="3" t="s">
        <v>39</v>
      </c>
      <c r="M761" s="3"/>
      <c r="N761" s="3" t="s">
        <v>40</v>
      </c>
    </row>
    <row r="762" customFormat="false" ht="15" hidden="false" customHeight="true" outlineLevel="0" collapsed="false">
      <c r="A762" s="3" t="s">
        <v>698</v>
      </c>
      <c r="B762" s="3" t="s">
        <v>698</v>
      </c>
      <c r="C762" s="7" t="s">
        <v>37</v>
      </c>
      <c r="D762" s="3" t="s">
        <v>25</v>
      </c>
      <c r="E762" s="5" t="n">
        <v>10</v>
      </c>
      <c r="F762" s="3" t="s">
        <v>25</v>
      </c>
      <c r="G762" s="5" t="s">
        <v>37</v>
      </c>
      <c r="H762" s="5" t="s">
        <v>37</v>
      </c>
      <c r="I762" s="3" t="s">
        <v>70</v>
      </c>
      <c r="J762" s="3" t="s">
        <v>71</v>
      </c>
      <c r="K762" s="3"/>
      <c r="L762" s="3" t="s">
        <v>72</v>
      </c>
      <c r="M762" s="3"/>
      <c r="N762" s="3" t="s">
        <v>73</v>
      </c>
    </row>
    <row r="763" customFormat="false" ht="75.75" hidden="false" customHeight="true" outlineLevel="0" collapsed="false">
      <c r="A763" s="8" t="s">
        <v>698</v>
      </c>
      <c r="B763" s="8" t="s">
        <v>698</v>
      </c>
      <c r="C763" s="8" t="s">
        <v>28</v>
      </c>
      <c r="D763" s="8" t="s">
        <v>47</v>
      </c>
      <c r="E763" s="8" t="s">
        <v>716</v>
      </c>
      <c r="F763" s="8" t="s">
        <v>47</v>
      </c>
      <c r="G763" s="8" t="s">
        <v>214</v>
      </c>
      <c r="H763" s="8"/>
      <c r="I763" s="8" t="s">
        <v>49</v>
      </c>
      <c r="J763" s="8" t="s">
        <v>214</v>
      </c>
      <c r="K763" s="8"/>
      <c r="L763" s="8" t="s">
        <v>699</v>
      </c>
      <c r="M763" s="8" t="s">
        <v>700</v>
      </c>
      <c r="N763" s="8" t="s">
        <v>50</v>
      </c>
    </row>
    <row r="764" customFormat="false" ht="23.25" hidden="false" customHeight="true" outlineLevel="0" collapsed="false">
      <c r="A764" s="3" t="s">
        <v>717</v>
      </c>
      <c r="B764" s="3" t="s">
        <v>717</v>
      </c>
      <c r="C764" s="4" t="s">
        <v>15</v>
      </c>
      <c r="D764" s="3" t="s">
        <v>16</v>
      </c>
      <c r="E764" s="5" t="n">
        <v>8600</v>
      </c>
      <c r="F764" s="3" t="s">
        <v>16</v>
      </c>
      <c r="G764" s="5" t="n">
        <v>8600</v>
      </c>
      <c r="H764" s="5" t="n">
        <f aca="false">ROUND(ABS(G764)-ABS(E764),2)</f>
        <v>0</v>
      </c>
      <c r="I764" s="3" t="s">
        <v>17</v>
      </c>
      <c r="J764" s="3" t="s">
        <v>214</v>
      </c>
      <c r="K764" s="3"/>
      <c r="L764" s="3" t="s">
        <v>718</v>
      </c>
      <c r="M764" s="3" t="s">
        <v>719</v>
      </c>
      <c r="N764" s="3"/>
    </row>
    <row r="765" customFormat="false" ht="23.25" hidden="false" customHeight="true" outlineLevel="0" collapsed="false">
      <c r="A765" s="3" t="s">
        <v>717</v>
      </c>
      <c r="B765" s="3" t="s">
        <v>717</v>
      </c>
      <c r="C765" s="4" t="s">
        <v>15</v>
      </c>
      <c r="D765" s="3" t="s">
        <v>21</v>
      </c>
      <c r="E765" s="5" t="n">
        <v>1918.15</v>
      </c>
      <c r="F765" s="3" t="s">
        <v>21</v>
      </c>
      <c r="G765" s="5" t="n">
        <v>1918.15</v>
      </c>
      <c r="H765" s="5" t="n">
        <f aca="false">ROUND(ABS(G765)-ABS(E765),2)</f>
        <v>0</v>
      </c>
      <c r="I765" s="3" t="s">
        <v>17</v>
      </c>
      <c r="J765" s="3" t="s">
        <v>214</v>
      </c>
      <c r="K765" s="3"/>
      <c r="L765" s="3" t="s">
        <v>718</v>
      </c>
      <c r="M765" s="3" t="s">
        <v>719</v>
      </c>
      <c r="N765" s="3"/>
    </row>
    <row r="766" customFormat="false" ht="23.25" hidden="false" customHeight="true" outlineLevel="0" collapsed="false">
      <c r="A766" s="3" t="s">
        <v>717</v>
      </c>
      <c r="B766" s="3" t="s">
        <v>717</v>
      </c>
      <c r="C766" s="4" t="s">
        <v>15</v>
      </c>
      <c r="D766" s="3" t="s">
        <v>22</v>
      </c>
      <c r="E766" s="5" t="n">
        <v>100</v>
      </c>
      <c r="F766" s="3" t="s">
        <v>22</v>
      </c>
      <c r="G766" s="5" t="n">
        <v>100</v>
      </c>
      <c r="H766" s="5" t="n">
        <f aca="false">ROUND(ABS(G766)-ABS(E766),2)</f>
        <v>0</v>
      </c>
      <c r="I766" s="3" t="s">
        <v>17</v>
      </c>
      <c r="J766" s="3" t="s">
        <v>214</v>
      </c>
      <c r="K766" s="3"/>
      <c r="L766" s="3" t="s">
        <v>718</v>
      </c>
      <c r="M766" s="3" t="s">
        <v>719</v>
      </c>
      <c r="N766" s="3" t="s">
        <v>23</v>
      </c>
    </row>
    <row r="767" customFormat="false" ht="23.25" hidden="false" customHeight="true" outlineLevel="0" collapsed="false">
      <c r="A767" s="3" t="s">
        <v>717</v>
      </c>
      <c r="B767" s="3" t="s">
        <v>717</v>
      </c>
      <c r="C767" s="4" t="s">
        <v>15</v>
      </c>
      <c r="D767" s="3" t="s">
        <v>24</v>
      </c>
      <c r="E767" s="5" t="n">
        <v>4304.9</v>
      </c>
      <c r="F767" s="3" t="s">
        <v>24</v>
      </c>
      <c r="G767" s="5" t="n">
        <v>4304.9</v>
      </c>
      <c r="H767" s="5" t="n">
        <f aca="false">ROUND(ABS(G767)-ABS(E767),2)</f>
        <v>0</v>
      </c>
      <c r="I767" s="3" t="s">
        <v>17</v>
      </c>
      <c r="J767" s="3" t="s">
        <v>214</v>
      </c>
      <c r="K767" s="3"/>
      <c r="L767" s="3" t="s">
        <v>718</v>
      </c>
      <c r="M767" s="3" t="s">
        <v>719</v>
      </c>
      <c r="N767" s="3"/>
    </row>
    <row r="768" customFormat="false" ht="23.25" hidden="false" customHeight="true" outlineLevel="0" collapsed="false">
      <c r="A768" s="3" t="s">
        <v>717</v>
      </c>
      <c r="B768" s="3" t="s">
        <v>717</v>
      </c>
      <c r="C768" s="6" t="s">
        <v>28</v>
      </c>
      <c r="D768" s="3" t="s">
        <v>25</v>
      </c>
      <c r="E768" s="5" t="n">
        <v>159.61</v>
      </c>
      <c r="F768" s="3" t="s">
        <v>25</v>
      </c>
      <c r="G768" s="5" t="n">
        <v>234.03</v>
      </c>
      <c r="H768" s="5" t="n">
        <f aca="false">ROUND(ABS(G768)-ABS(E768),2)</f>
        <v>74.42</v>
      </c>
      <c r="I768" s="3" t="s">
        <v>17</v>
      </c>
      <c r="J768" s="3" t="s">
        <v>214</v>
      </c>
      <c r="K768" s="3"/>
      <c r="L768" s="3" t="s">
        <v>718</v>
      </c>
      <c r="M768" s="3" t="s">
        <v>719</v>
      </c>
      <c r="N768" s="3"/>
    </row>
    <row r="769" customFormat="false" ht="23.25" hidden="false" customHeight="true" outlineLevel="0" collapsed="false">
      <c r="A769" s="3" t="s">
        <v>717</v>
      </c>
      <c r="B769" s="3" t="s">
        <v>717</v>
      </c>
      <c r="C769" s="4" t="s">
        <v>15</v>
      </c>
      <c r="D769" s="3" t="s">
        <v>26</v>
      </c>
      <c r="E769" s="5" t="n">
        <v>0</v>
      </c>
      <c r="F769" s="3" t="s">
        <v>26</v>
      </c>
      <c r="G769" s="5" t="n">
        <v>0</v>
      </c>
      <c r="H769" s="5" t="n">
        <f aca="false">ROUND(ABS(G769)-ABS(E769),2)</f>
        <v>0</v>
      </c>
      <c r="I769" s="3" t="s">
        <v>17</v>
      </c>
      <c r="J769" s="3" t="s">
        <v>214</v>
      </c>
      <c r="K769" s="3"/>
      <c r="L769" s="3" t="s">
        <v>718</v>
      </c>
      <c r="M769" s="3" t="s">
        <v>719</v>
      </c>
      <c r="N769" s="3" t="s">
        <v>27</v>
      </c>
    </row>
    <row r="770" customFormat="false" ht="23.25" hidden="false" customHeight="true" outlineLevel="0" collapsed="false">
      <c r="A770" s="3" t="s">
        <v>717</v>
      </c>
      <c r="B770" s="3" t="s">
        <v>717</v>
      </c>
      <c r="C770" s="6" t="s">
        <v>28</v>
      </c>
      <c r="D770" s="3" t="s">
        <v>29</v>
      </c>
      <c r="E770" s="5" t="n">
        <v>2043.84</v>
      </c>
      <c r="F770" s="3" t="s">
        <v>29</v>
      </c>
      <c r="G770" s="5" t="n">
        <v>-2421.59</v>
      </c>
      <c r="H770" s="5" t="n">
        <f aca="false">ROUND(ABS(G770)-ABS(E770),2)</f>
        <v>377.75</v>
      </c>
      <c r="I770" s="3" t="s">
        <v>17</v>
      </c>
      <c r="J770" s="3" t="s">
        <v>214</v>
      </c>
      <c r="K770" s="3"/>
      <c r="L770" s="3" t="s">
        <v>718</v>
      </c>
      <c r="M770" s="3" t="s">
        <v>719</v>
      </c>
      <c r="N770" s="3" t="s">
        <v>30</v>
      </c>
    </row>
    <row r="771" customFormat="false" ht="34.5" hidden="false" customHeight="true" outlineLevel="0" collapsed="false">
      <c r="A771" s="3" t="s">
        <v>717</v>
      </c>
      <c r="B771" s="3" t="s">
        <v>717</v>
      </c>
      <c r="C771" s="4" t="s">
        <v>15</v>
      </c>
      <c r="D771" s="3" t="s">
        <v>16</v>
      </c>
      <c r="E771" s="5" t="n">
        <v>4900</v>
      </c>
      <c r="F771" s="3" t="s">
        <v>16</v>
      </c>
      <c r="G771" s="5" t="n">
        <v>4900</v>
      </c>
      <c r="H771" s="5" t="n">
        <f aca="false">ROUND(ABS(G771)-ABS(E771),2)</f>
        <v>0</v>
      </c>
      <c r="I771" s="3" t="s">
        <v>720</v>
      </c>
      <c r="J771" s="3"/>
      <c r="K771" s="3"/>
      <c r="L771" s="3" t="s">
        <v>721</v>
      </c>
      <c r="M771" s="3" t="s">
        <v>722</v>
      </c>
      <c r="N771" s="3"/>
    </row>
    <row r="772" customFormat="false" ht="34.5" hidden="false" customHeight="true" outlineLevel="0" collapsed="false">
      <c r="A772" s="3" t="s">
        <v>717</v>
      </c>
      <c r="B772" s="3" t="s">
        <v>717</v>
      </c>
      <c r="C772" s="4" t="s">
        <v>15</v>
      </c>
      <c r="D772" s="3" t="s">
        <v>21</v>
      </c>
      <c r="E772" s="5" t="n">
        <v>945.1</v>
      </c>
      <c r="F772" s="3" t="s">
        <v>21</v>
      </c>
      <c r="G772" s="5" t="n">
        <v>945.1</v>
      </c>
      <c r="H772" s="5" t="n">
        <f aca="false">ROUND(ABS(G772)-ABS(E772),2)</f>
        <v>0</v>
      </c>
      <c r="I772" s="3" t="s">
        <v>720</v>
      </c>
      <c r="J772" s="3"/>
      <c r="K772" s="3"/>
      <c r="L772" s="3" t="s">
        <v>721</v>
      </c>
      <c r="M772" s="3" t="s">
        <v>723</v>
      </c>
      <c r="N772" s="3"/>
    </row>
    <row r="773" customFormat="false" ht="34.5" hidden="false" customHeight="true" outlineLevel="0" collapsed="false">
      <c r="A773" s="3" t="s">
        <v>717</v>
      </c>
      <c r="B773" s="3" t="s">
        <v>717</v>
      </c>
      <c r="C773" s="4" t="s">
        <v>15</v>
      </c>
      <c r="D773" s="3" t="s">
        <v>22</v>
      </c>
      <c r="E773" s="5" t="n">
        <v>50</v>
      </c>
      <c r="F773" s="3" t="s">
        <v>22</v>
      </c>
      <c r="G773" s="5" t="n">
        <v>50</v>
      </c>
      <c r="H773" s="5" t="n">
        <f aca="false">ROUND(ABS(G773)-ABS(E773),2)</f>
        <v>0</v>
      </c>
      <c r="I773" s="3" t="s">
        <v>720</v>
      </c>
      <c r="J773" s="3"/>
      <c r="K773" s="3"/>
      <c r="L773" s="3" t="s">
        <v>724</v>
      </c>
      <c r="M773" s="3" t="s">
        <v>725</v>
      </c>
      <c r="N773" s="3"/>
    </row>
    <row r="774" customFormat="false" ht="34.5" hidden="false" customHeight="true" outlineLevel="0" collapsed="false">
      <c r="A774" s="3" t="s">
        <v>717</v>
      </c>
      <c r="B774" s="3" t="s">
        <v>717</v>
      </c>
      <c r="C774" s="4" t="s">
        <v>15</v>
      </c>
      <c r="D774" s="3" t="s">
        <v>24</v>
      </c>
      <c r="E774" s="5" t="n">
        <v>2145.58</v>
      </c>
      <c r="F774" s="3" t="s">
        <v>24</v>
      </c>
      <c r="G774" s="5" t="n">
        <v>2145.58</v>
      </c>
      <c r="H774" s="5" t="n">
        <f aca="false">ROUND(ABS(G774)-ABS(E774),2)</f>
        <v>0</v>
      </c>
      <c r="I774" s="3" t="s">
        <v>720</v>
      </c>
      <c r="J774" s="3"/>
      <c r="K774" s="3"/>
      <c r="L774" s="3" t="s">
        <v>721</v>
      </c>
      <c r="M774" s="3" t="s">
        <v>726</v>
      </c>
      <c r="N774" s="3"/>
    </row>
    <row r="775" customFormat="false" ht="34.5" hidden="false" customHeight="true" outlineLevel="0" collapsed="false">
      <c r="A775" s="3" t="s">
        <v>717</v>
      </c>
      <c r="B775" s="3" t="s">
        <v>717</v>
      </c>
      <c r="C775" s="4" t="s">
        <v>15</v>
      </c>
      <c r="D775" s="3" t="s">
        <v>25</v>
      </c>
      <c r="E775" s="5" t="n">
        <v>74.42</v>
      </c>
      <c r="F775" s="3" t="s">
        <v>25</v>
      </c>
      <c r="G775" s="5" t="n">
        <v>74.42</v>
      </c>
      <c r="H775" s="5" t="n">
        <f aca="false">ROUND(ABS(G775)-ABS(E775),2)</f>
        <v>0</v>
      </c>
      <c r="I775" s="3" t="s">
        <v>720</v>
      </c>
      <c r="J775" s="3"/>
      <c r="K775" s="3"/>
      <c r="L775" s="3" t="s">
        <v>727</v>
      </c>
      <c r="M775" s="3" t="s">
        <v>728</v>
      </c>
      <c r="N775" s="3"/>
    </row>
    <row r="776" customFormat="false" ht="23.25" hidden="false" customHeight="true" outlineLevel="0" collapsed="false">
      <c r="A776" s="3" t="s">
        <v>717</v>
      </c>
      <c r="B776" s="3" t="s">
        <v>717</v>
      </c>
      <c r="C776" s="7" t="s">
        <v>37</v>
      </c>
      <c r="D776" s="3" t="s">
        <v>29</v>
      </c>
      <c r="E776" s="5" t="s">
        <v>37</v>
      </c>
      <c r="F776" s="3" t="s">
        <v>29</v>
      </c>
      <c r="G776" s="5" t="s">
        <v>37</v>
      </c>
      <c r="H776" s="5" t="s">
        <v>37</v>
      </c>
      <c r="I776" s="3" t="s">
        <v>720</v>
      </c>
      <c r="J776" s="3" t="s">
        <v>38</v>
      </c>
      <c r="K776" s="3"/>
      <c r="L776" s="3" t="s">
        <v>39</v>
      </c>
      <c r="M776" s="3"/>
      <c r="N776" s="3" t="s">
        <v>40</v>
      </c>
    </row>
    <row r="777" customFormat="false" ht="34.5" hidden="false" customHeight="true" outlineLevel="0" collapsed="false">
      <c r="A777" s="3" t="s">
        <v>717</v>
      </c>
      <c r="B777" s="3" t="s">
        <v>717</v>
      </c>
      <c r="C777" s="4" t="s">
        <v>15</v>
      </c>
      <c r="D777" s="3" t="s">
        <v>16</v>
      </c>
      <c r="E777" s="5" t="n">
        <v>3700</v>
      </c>
      <c r="F777" s="3" t="s">
        <v>16</v>
      </c>
      <c r="G777" s="5" t="n">
        <v>3700</v>
      </c>
      <c r="H777" s="5" t="n">
        <f aca="false">ROUND(ABS(G777)-ABS(E777),2)</f>
        <v>0</v>
      </c>
      <c r="I777" s="3" t="s">
        <v>729</v>
      </c>
      <c r="J777" s="3"/>
      <c r="K777" s="3"/>
      <c r="L777" s="3" t="s">
        <v>721</v>
      </c>
      <c r="M777" s="3" t="s">
        <v>730</v>
      </c>
      <c r="N777" s="3"/>
    </row>
    <row r="778" customFormat="false" ht="34.5" hidden="false" customHeight="true" outlineLevel="0" collapsed="false">
      <c r="A778" s="3" t="s">
        <v>717</v>
      </c>
      <c r="B778" s="3" t="s">
        <v>717</v>
      </c>
      <c r="C778" s="4" t="s">
        <v>15</v>
      </c>
      <c r="D778" s="3" t="s">
        <v>21</v>
      </c>
      <c r="E778" s="5" t="n">
        <v>973.05</v>
      </c>
      <c r="F778" s="3" t="s">
        <v>21</v>
      </c>
      <c r="G778" s="5" t="n">
        <v>973.05</v>
      </c>
      <c r="H778" s="5" t="n">
        <f aca="false">ROUND(ABS(G778)-ABS(E778),2)</f>
        <v>0</v>
      </c>
      <c r="I778" s="3" t="s">
        <v>729</v>
      </c>
      <c r="J778" s="3"/>
      <c r="K778" s="3"/>
      <c r="L778" s="3" t="s">
        <v>721</v>
      </c>
      <c r="M778" s="3" t="s">
        <v>731</v>
      </c>
      <c r="N778" s="3"/>
    </row>
    <row r="779" customFormat="false" ht="34.5" hidden="false" customHeight="true" outlineLevel="0" collapsed="false">
      <c r="A779" s="3" t="s">
        <v>717</v>
      </c>
      <c r="B779" s="3" t="s">
        <v>717</v>
      </c>
      <c r="C779" s="4" t="s">
        <v>15</v>
      </c>
      <c r="D779" s="3" t="s">
        <v>22</v>
      </c>
      <c r="E779" s="5" t="n">
        <v>50</v>
      </c>
      <c r="F779" s="3" t="s">
        <v>22</v>
      </c>
      <c r="G779" s="5" t="n">
        <v>50</v>
      </c>
      <c r="H779" s="5" t="n">
        <f aca="false">ROUND(ABS(G779)-ABS(E779),2)</f>
        <v>0</v>
      </c>
      <c r="I779" s="3" t="s">
        <v>729</v>
      </c>
      <c r="J779" s="3"/>
      <c r="K779" s="3"/>
      <c r="L779" s="3" t="s">
        <v>724</v>
      </c>
      <c r="M779" s="3" t="s">
        <v>732</v>
      </c>
      <c r="N779" s="3"/>
    </row>
    <row r="780" customFormat="false" ht="34.5" hidden="false" customHeight="true" outlineLevel="0" collapsed="false">
      <c r="A780" s="3" t="s">
        <v>717</v>
      </c>
      <c r="B780" s="3" t="s">
        <v>717</v>
      </c>
      <c r="C780" s="4" t="s">
        <v>15</v>
      </c>
      <c r="D780" s="3" t="s">
        <v>24</v>
      </c>
      <c r="E780" s="5" t="n">
        <v>2159.32</v>
      </c>
      <c r="F780" s="3" t="s">
        <v>24</v>
      </c>
      <c r="G780" s="5" t="n">
        <v>2159.32</v>
      </c>
      <c r="H780" s="5" t="n">
        <f aca="false">ROUND(ABS(G780)-ABS(E780),2)</f>
        <v>0</v>
      </c>
      <c r="I780" s="3" t="s">
        <v>729</v>
      </c>
      <c r="J780" s="3"/>
      <c r="K780" s="3"/>
      <c r="L780" s="3" t="s">
        <v>721</v>
      </c>
      <c r="M780" s="3" t="s">
        <v>733</v>
      </c>
      <c r="N780" s="3"/>
    </row>
    <row r="781" customFormat="false" ht="45.75" hidden="false" customHeight="true" outlineLevel="0" collapsed="false">
      <c r="A781" s="3" t="s">
        <v>717</v>
      </c>
      <c r="B781" s="3" t="s">
        <v>717</v>
      </c>
      <c r="C781" s="6" t="s">
        <v>28</v>
      </c>
      <c r="D781" s="3" t="s">
        <v>25</v>
      </c>
      <c r="E781" s="5" t="n">
        <v>85.19</v>
      </c>
      <c r="F781" s="3" t="s">
        <v>25</v>
      </c>
      <c r="G781" s="5" t="n">
        <v>159.61</v>
      </c>
      <c r="H781" s="5" t="n">
        <f aca="false">ROUND(ABS(G781)-ABS(E781),2)</f>
        <v>74.42</v>
      </c>
      <c r="I781" s="3" t="s">
        <v>729</v>
      </c>
      <c r="J781" s="3"/>
      <c r="K781" s="3"/>
      <c r="L781" s="3" t="s">
        <v>727</v>
      </c>
      <c r="M781" s="3" t="s">
        <v>734</v>
      </c>
      <c r="N781" s="3"/>
    </row>
    <row r="782" customFormat="false" ht="23.25" hidden="false" customHeight="true" outlineLevel="0" collapsed="false">
      <c r="A782" s="3" t="s">
        <v>717</v>
      </c>
      <c r="B782" s="3" t="s">
        <v>717</v>
      </c>
      <c r="C782" s="7" t="s">
        <v>37</v>
      </c>
      <c r="D782" s="3" t="s">
        <v>29</v>
      </c>
      <c r="E782" s="5" t="s">
        <v>37</v>
      </c>
      <c r="F782" s="3" t="s">
        <v>29</v>
      </c>
      <c r="G782" s="5" t="s">
        <v>37</v>
      </c>
      <c r="H782" s="5" t="s">
        <v>37</v>
      </c>
      <c r="I782" s="3" t="s">
        <v>729</v>
      </c>
      <c r="J782" s="3" t="s">
        <v>38</v>
      </c>
      <c r="K782" s="3"/>
      <c r="L782" s="3" t="s">
        <v>39</v>
      </c>
      <c r="M782" s="3"/>
      <c r="N782" s="3" t="s">
        <v>40</v>
      </c>
    </row>
    <row r="783" customFormat="false" ht="75.75" hidden="false" customHeight="true" outlineLevel="0" collapsed="false">
      <c r="A783" s="8" t="s">
        <v>717</v>
      </c>
      <c r="B783" s="8" t="s">
        <v>717</v>
      </c>
      <c r="C783" s="8" t="s">
        <v>28</v>
      </c>
      <c r="D783" s="8" t="s">
        <v>47</v>
      </c>
      <c r="E783" s="8" t="s">
        <v>735</v>
      </c>
      <c r="F783" s="8" t="s">
        <v>47</v>
      </c>
      <c r="G783" s="8" t="s">
        <v>214</v>
      </c>
      <c r="H783" s="8"/>
      <c r="I783" s="8" t="s">
        <v>49</v>
      </c>
      <c r="J783" s="8" t="s">
        <v>214</v>
      </c>
      <c r="K783" s="8"/>
      <c r="L783" s="8" t="s">
        <v>718</v>
      </c>
      <c r="M783" s="8" t="s">
        <v>719</v>
      </c>
      <c r="N783" s="8" t="s">
        <v>736</v>
      </c>
    </row>
    <row r="784" customFormat="false" ht="23.25" hidden="false" customHeight="true" outlineLevel="0" collapsed="false">
      <c r="A784" s="3" t="s">
        <v>737</v>
      </c>
      <c r="B784" s="3" t="s">
        <v>737</v>
      </c>
      <c r="C784" s="6" t="s">
        <v>28</v>
      </c>
      <c r="D784" s="3" t="s">
        <v>16</v>
      </c>
      <c r="E784" s="5" t="n">
        <v>10750</v>
      </c>
      <c r="F784" s="3" t="s">
        <v>16</v>
      </c>
      <c r="G784" s="5" t="n">
        <v>17350</v>
      </c>
      <c r="H784" s="5" t="n">
        <f aca="false">ROUND(ABS(G784)-ABS(E784),2)</f>
        <v>6600</v>
      </c>
      <c r="I784" s="3" t="s">
        <v>17</v>
      </c>
      <c r="J784" s="3" t="s">
        <v>214</v>
      </c>
      <c r="K784" s="3"/>
      <c r="L784" s="3" t="s">
        <v>738</v>
      </c>
      <c r="M784" s="3" t="s">
        <v>739</v>
      </c>
      <c r="N784" s="3"/>
    </row>
    <row r="785" customFormat="false" ht="23.25" hidden="false" customHeight="true" outlineLevel="0" collapsed="false">
      <c r="A785" s="3" t="s">
        <v>737</v>
      </c>
      <c r="B785" s="3" t="s">
        <v>737</v>
      </c>
      <c r="C785" s="4" t="s">
        <v>15</v>
      </c>
      <c r="D785" s="3" t="s">
        <v>21</v>
      </c>
      <c r="E785" s="5" t="n">
        <v>2017.05</v>
      </c>
      <c r="F785" s="3" t="s">
        <v>21</v>
      </c>
      <c r="G785" s="5" t="n">
        <v>2017.05</v>
      </c>
      <c r="H785" s="5" t="n">
        <f aca="false">ROUND(ABS(G785)-ABS(E785),2)</f>
        <v>0</v>
      </c>
      <c r="I785" s="3" t="s">
        <v>17</v>
      </c>
      <c r="J785" s="3" t="s">
        <v>214</v>
      </c>
      <c r="K785" s="3"/>
      <c r="L785" s="3" t="s">
        <v>738</v>
      </c>
      <c r="M785" s="3" t="s">
        <v>739</v>
      </c>
      <c r="N785" s="3"/>
    </row>
    <row r="786" customFormat="false" ht="23.25" hidden="false" customHeight="true" outlineLevel="0" collapsed="false">
      <c r="A786" s="3" t="s">
        <v>737</v>
      </c>
      <c r="B786" s="3" t="s">
        <v>737</v>
      </c>
      <c r="C786" s="4" t="s">
        <v>15</v>
      </c>
      <c r="D786" s="3" t="s">
        <v>22</v>
      </c>
      <c r="E786" s="5" t="n">
        <v>50</v>
      </c>
      <c r="F786" s="3" t="s">
        <v>22</v>
      </c>
      <c r="G786" s="5" t="n">
        <v>50</v>
      </c>
      <c r="H786" s="5" t="n">
        <f aca="false">ROUND(ABS(G786)-ABS(E786),2)</f>
        <v>0</v>
      </c>
      <c r="I786" s="3" t="s">
        <v>17</v>
      </c>
      <c r="J786" s="3" t="s">
        <v>214</v>
      </c>
      <c r="K786" s="3"/>
      <c r="L786" s="3" t="s">
        <v>738</v>
      </c>
      <c r="M786" s="3" t="s">
        <v>739</v>
      </c>
      <c r="N786" s="3" t="s">
        <v>23</v>
      </c>
    </row>
    <row r="787" customFormat="false" ht="23.25" hidden="false" customHeight="true" outlineLevel="0" collapsed="false">
      <c r="A787" s="3" t="s">
        <v>737</v>
      </c>
      <c r="B787" s="3" t="s">
        <v>737</v>
      </c>
      <c r="C787" s="6" t="s">
        <v>28</v>
      </c>
      <c r="D787" s="3" t="s">
        <v>24</v>
      </c>
      <c r="E787" s="5" t="n">
        <v>5404.83</v>
      </c>
      <c r="F787" s="3" t="s">
        <v>24</v>
      </c>
      <c r="G787" s="5" t="n">
        <v>9220.79</v>
      </c>
      <c r="H787" s="5" t="n">
        <f aca="false">ROUND(ABS(G787)-ABS(E787),2)</f>
        <v>3815.96</v>
      </c>
      <c r="I787" s="3" t="s">
        <v>17</v>
      </c>
      <c r="J787" s="3" t="s">
        <v>214</v>
      </c>
      <c r="K787" s="3"/>
      <c r="L787" s="3" t="s">
        <v>738</v>
      </c>
      <c r="M787" s="3" t="s">
        <v>739</v>
      </c>
      <c r="N787" s="3"/>
    </row>
    <row r="788" customFormat="false" ht="23.25" hidden="false" customHeight="true" outlineLevel="0" collapsed="false">
      <c r="A788" s="3" t="s">
        <v>737</v>
      </c>
      <c r="B788" s="3" t="s">
        <v>737</v>
      </c>
      <c r="C788" s="6" t="s">
        <v>28</v>
      </c>
      <c r="D788" s="3" t="s">
        <v>25</v>
      </c>
      <c r="E788" s="5" t="n">
        <v>772.9</v>
      </c>
      <c r="F788" s="3" t="s">
        <v>25</v>
      </c>
      <c r="G788" s="5" t="n">
        <v>1661.55</v>
      </c>
      <c r="H788" s="5" t="n">
        <f aca="false">ROUND(ABS(G788)-ABS(E788),2)</f>
        <v>888.65</v>
      </c>
      <c r="I788" s="3" t="s">
        <v>17</v>
      </c>
      <c r="J788" s="3" t="s">
        <v>214</v>
      </c>
      <c r="K788" s="3"/>
      <c r="L788" s="3" t="s">
        <v>738</v>
      </c>
      <c r="M788" s="3" t="s">
        <v>739</v>
      </c>
      <c r="N788" s="3"/>
    </row>
    <row r="789" customFormat="false" ht="23.25" hidden="false" customHeight="true" outlineLevel="0" collapsed="false">
      <c r="A789" s="3" t="s">
        <v>737</v>
      </c>
      <c r="B789" s="3" t="s">
        <v>737</v>
      </c>
      <c r="C789" s="4" t="s">
        <v>15</v>
      </c>
      <c r="D789" s="3" t="s">
        <v>26</v>
      </c>
      <c r="E789" s="5" t="n">
        <v>0</v>
      </c>
      <c r="F789" s="3" t="s">
        <v>26</v>
      </c>
      <c r="G789" s="5" t="n">
        <v>0</v>
      </c>
      <c r="H789" s="5" t="n">
        <f aca="false">ROUND(ABS(G789)-ABS(E789),2)</f>
        <v>0</v>
      </c>
      <c r="I789" s="3" t="s">
        <v>17</v>
      </c>
      <c r="J789" s="3" t="s">
        <v>214</v>
      </c>
      <c r="K789" s="3"/>
      <c r="L789" s="3" t="s">
        <v>738</v>
      </c>
      <c r="M789" s="3" t="s">
        <v>739</v>
      </c>
      <c r="N789" s="3" t="s">
        <v>27</v>
      </c>
    </row>
    <row r="790" customFormat="false" ht="23.25" hidden="false" customHeight="true" outlineLevel="0" collapsed="false">
      <c r="A790" s="3" t="s">
        <v>737</v>
      </c>
      <c r="B790" s="3" t="s">
        <v>737</v>
      </c>
      <c r="C790" s="6" t="s">
        <v>28</v>
      </c>
      <c r="D790" s="3" t="s">
        <v>29</v>
      </c>
      <c r="E790" s="5" t="n">
        <v>2312.47</v>
      </c>
      <c r="F790" s="3" t="s">
        <v>29</v>
      </c>
      <c r="G790" s="5" t="n">
        <v>-5814.56</v>
      </c>
      <c r="H790" s="5" t="n">
        <f aca="false">ROUND(ABS(G790)-ABS(E790),2)</f>
        <v>3502.09</v>
      </c>
      <c r="I790" s="3" t="s">
        <v>17</v>
      </c>
      <c r="J790" s="3" t="s">
        <v>214</v>
      </c>
      <c r="K790" s="3"/>
      <c r="L790" s="3" t="s">
        <v>738</v>
      </c>
      <c r="M790" s="3" t="s">
        <v>739</v>
      </c>
      <c r="N790" s="3" t="s">
        <v>30</v>
      </c>
    </row>
    <row r="791" customFormat="false" ht="23.25" hidden="false" customHeight="true" outlineLevel="0" collapsed="false">
      <c r="A791" s="3" t="s">
        <v>737</v>
      </c>
      <c r="B791" s="3" t="s">
        <v>737</v>
      </c>
      <c r="C791" s="6" t="s">
        <v>28</v>
      </c>
      <c r="D791" s="3" t="s">
        <v>16</v>
      </c>
      <c r="E791" s="5" t="n">
        <v>0</v>
      </c>
      <c r="F791" s="3" t="s">
        <v>16</v>
      </c>
      <c r="G791" s="5" t="n">
        <v>2500</v>
      </c>
      <c r="H791" s="5" t="n">
        <f aca="false">ROUND(ABS(G791)-ABS(E791),2)</f>
        <v>2500</v>
      </c>
      <c r="I791" s="3" t="s">
        <v>41</v>
      </c>
      <c r="J791" s="3"/>
      <c r="K791" s="3"/>
      <c r="L791" s="3" t="s">
        <v>740</v>
      </c>
      <c r="M791" s="3" t="s">
        <v>42</v>
      </c>
      <c r="N791" s="3"/>
    </row>
    <row r="792" customFormat="false" ht="23.25" hidden="false" customHeight="true" outlineLevel="0" collapsed="false">
      <c r="A792" s="3" t="s">
        <v>737</v>
      </c>
      <c r="B792" s="3" t="s">
        <v>737</v>
      </c>
      <c r="C792" s="6" t="s">
        <v>28</v>
      </c>
      <c r="D792" s="3" t="s">
        <v>24</v>
      </c>
      <c r="E792" s="5" t="n">
        <v>0</v>
      </c>
      <c r="F792" s="3" t="s">
        <v>24</v>
      </c>
      <c r="G792" s="5" t="n">
        <v>1278.22</v>
      </c>
      <c r="H792" s="5" t="n">
        <f aca="false">ROUND(ABS(G792)-ABS(E792),2)</f>
        <v>1278.22</v>
      </c>
      <c r="I792" s="3" t="s">
        <v>41</v>
      </c>
      <c r="J792" s="3"/>
      <c r="K792" s="3"/>
      <c r="L792" s="3" t="s">
        <v>740</v>
      </c>
      <c r="M792" s="3" t="s">
        <v>44</v>
      </c>
      <c r="N792" s="3"/>
    </row>
    <row r="793" customFormat="false" ht="23.25" hidden="false" customHeight="true" outlineLevel="0" collapsed="false">
      <c r="A793" s="3" t="s">
        <v>737</v>
      </c>
      <c r="B793" s="3" t="s">
        <v>737</v>
      </c>
      <c r="C793" s="7" t="s">
        <v>37</v>
      </c>
      <c r="D793" s="3" t="s">
        <v>29</v>
      </c>
      <c r="E793" s="5" t="s">
        <v>37</v>
      </c>
      <c r="F793" s="3" t="s">
        <v>29</v>
      </c>
      <c r="G793" s="5" t="s">
        <v>37</v>
      </c>
      <c r="H793" s="5" t="s">
        <v>37</v>
      </c>
      <c r="I793" s="3" t="s">
        <v>41</v>
      </c>
      <c r="J793" s="3" t="s">
        <v>38</v>
      </c>
      <c r="K793" s="3"/>
      <c r="L793" s="3" t="s">
        <v>39</v>
      </c>
      <c r="M793" s="3"/>
      <c r="N793" s="3" t="s">
        <v>40</v>
      </c>
    </row>
    <row r="794" customFormat="false" ht="23.25" hidden="false" customHeight="true" outlineLevel="0" collapsed="false">
      <c r="A794" s="3" t="s">
        <v>737</v>
      </c>
      <c r="B794" s="3" t="s">
        <v>737</v>
      </c>
      <c r="C794" s="6" t="s">
        <v>28</v>
      </c>
      <c r="D794" s="3" t="s">
        <v>16</v>
      </c>
      <c r="E794" s="5" t="n">
        <v>0</v>
      </c>
      <c r="F794" s="3" t="s">
        <v>16</v>
      </c>
      <c r="G794" s="5" t="n">
        <v>1100</v>
      </c>
      <c r="H794" s="5" t="n">
        <f aca="false">ROUND(ABS(G794)-ABS(E794),2)</f>
        <v>1100</v>
      </c>
      <c r="I794" s="3" t="s">
        <v>397</v>
      </c>
      <c r="J794" s="3"/>
      <c r="K794" s="3"/>
      <c r="L794" s="3" t="s">
        <v>740</v>
      </c>
      <c r="M794" s="3" t="s">
        <v>398</v>
      </c>
      <c r="N794" s="3"/>
    </row>
    <row r="795" customFormat="false" ht="23.25" hidden="false" customHeight="true" outlineLevel="0" collapsed="false">
      <c r="A795" s="3" t="s">
        <v>737</v>
      </c>
      <c r="B795" s="3" t="s">
        <v>737</v>
      </c>
      <c r="C795" s="6" t="s">
        <v>28</v>
      </c>
      <c r="D795" s="3" t="s">
        <v>24</v>
      </c>
      <c r="E795" s="5" t="n">
        <v>0</v>
      </c>
      <c r="F795" s="3" t="s">
        <v>24</v>
      </c>
      <c r="G795" s="5" t="n">
        <v>1396.44</v>
      </c>
      <c r="H795" s="5" t="n">
        <f aca="false">ROUND(ABS(G795)-ABS(E795),2)</f>
        <v>1396.44</v>
      </c>
      <c r="I795" s="3" t="s">
        <v>397</v>
      </c>
      <c r="J795" s="3"/>
      <c r="K795" s="3"/>
      <c r="L795" s="3" t="s">
        <v>740</v>
      </c>
      <c r="M795" s="3" t="s">
        <v>400</v>
      </c>
      <c r="N795" s="3"/>
    </row>
    <row r="796" customFormat="false" ht="45.75" hidden="false" customHeight="true" outlineLevel="0" collapsed="false">
      <c r="A796" s="3" t="s">
        <v>737</v>
      </c>
      <c r="B796" s="3" t="s">
        <v>737</v>
      </c>
      <c r="C796" s="7" t="s">
        <v>37</v>
      </c>
      <c r="D796" s="3" t="s">
        <v>25</v>
      </c>
      <c r="E796" s="5" t="n">
        <v>0</v>
      </c>
      <c r="F796" s="3" t="s">
        <v>25</v>
      </c>
      <c r="G796" s="5" t="n">
        <v>271.71</v>
      </c>
      <c r="H796" s="5" t="n">
        <f aca="false">ROUND(ABS(G796)-ABS(E796),2)</f>
        <v>271.71</v>
      </c>
      <c r="I796" s="3" t="s">
        <v>397</v>
      </c>
      <c r="J796" s="3"/>
      <c r="K796" s="3"/>
      <c r="L796" s="3" t="s">
        <v>740</v>
      </c>
      <c r="M796" s="3" t="s">
        <v>402</v>
      </c>
      <c r="N796" s="3" t="s">
        <v>62</v>
      </c>
    </row>
    <row r="797" customFormat="false" ht="23.25" hidden="false" customHeight="true" outlineLevel="0" collapsed="false">
      <c r="A797" s="3" t="s">
        <v>737</v>
      </c>
      <c r="B797" s="3" t="s">
        <v>737</v>
      </c>
      <c r="C797" s="7" t="s">
        <v>37</v>
      </c>
      <c r="D797" s="3" t="s">
        <v>29</v>
      </c>
      <c r="E797" s="5" t="s">
        <v>37</v>
      </c>
      <c r="F797" s="3" t="s">
        <v>29</v>
      </c>
      <c r="G797" s="5" t="s">
        <v>37</v>
      </c>
      <c r="H797" s="5" t="s">
        <v>37</v>
      </c>
      <c r="I797" s="3" t="s">
        <v>397</v>
      </c>
      <c r="J797" s="3" t="s">
        <v>38</v>
      </c>
      <c r="K797" s="3"/>
      <c r="L797" s="3" t="s">
        <v>39</v>
      </c>
      <c r="M797" s="3"/>
      <c r="N797" s="3" t="s">
        <v>40</v>
      </c>
    </row>
    <row r="798" customFormat="false" ht="23.25" hidden="false" customHeight="true" outlineLevel="0" collapsed="false">
      <c r="A798" s="3" t="s">
        <v>737</v>
      </c>
      <c r="B798" s="3" t="s">
        <v>737</v>
      </c>
      <c r="C798" s="6" t="s">
        <v>28</v>
      </c>
      <c r="D798" s="3" t="s">
        <v>16</v>
      </c>
      <c r="E798" s="5" t="n">
        <v>0</v>
      </c>
      <c r="F798" s="3" t="s">
        <v>16</v>
      </c>
      <c r="G798" s="5" t="n">
        <v>3000</v>
      </c>
      <c r="H798" s="5" t="n">
        <f aca="false">ROUND(ABS(G798)-ABS(E798),2)</f>
        <v>3000</v>
      </c>
      <c r="I798" s="3" t="s">
        <v>403</v>
      </c>
      <c r="J798" s="3"/>
      <c r="K798" s="3"/>
      <c r="L798" s="3" t="s">
        <v>740</v>
      </c>
      <c r="M798" s="3" t="s">
        <v>404</v>
      </c>
      <c r="N798" s="3"/>
    </row>
    <row r="799" customFormat="false" ht="23.25" hidden="false" customHeight="true" outlineLevel="0" collapsed="false">
      <c r="A799" s="3" t="s">
        <v>737</v>
      </c>
      <c r="B799" s="3" t="s">
        <v>737</v>
      </c>
      <c r="C799" s="6" t="s">
        <v>28</v>
      </c>
      <c r="D799" s="3" t="s">
        <v>24</v>
      </c>
      <c r="E799" s="5" t="n">
        <v>0</v>
      </c>
      <c r="F799" s="3" t="s">
        <v>24</v>
      </c>
      <c r="G799" s="5" t="n">
        <v>1141.3</v>
      </c>
      <c r="H799" s="5" t="n">
        <f aca="false">ROUND(ABS(G799)-ABS(E799),2)</f>
        <v>1141.3</v>
      </c>
      <c r="I799" s="3" t="s">
        <v>403</v>
      </c>
      <c r="J799" s="3"/>
      <c r="K799" s="3"/>
      <c r="L799" s="3" t="s">
        <v>740</v>
      </c>
      <c r="M799" s="3" t="s">
        <v>406</v>
      </c>
      <c r="N799" s="3"/>
    </row>
    <row r="800" customFormat="false" ht="23.25" hidden="false" customHeight="true" outlineLevel="0" collapsed="false">
      <c r="A800" s="3" t="s">
        <v>737</v>
      </c>
      <c r="B800" s="3" t="s">
        <v>737</v>
      </c>
      <c r="C800" s="7" t="s">
        <v>37</v>
      </c>
      <c r="D800" s="3" t="s">
        <v>29</v>
      </c>
      <c r="E800" s="5" t="s">
        <v>37</v>
      </c>
      <c r="F800" s="3" t="s">
        <v>29</v>
      </c>
      <c r="G800" s="5" t="s">
        <v>37</v>
      </c>
      <c r="H800" s="5" t="s">
        <v>37</v>
      </c>
      <c r="I800" s="3" t="s">
        <v>403</v>
      </c>
      <c r="J800" s="3" t="s">
        <v>38</v>
      </c>
      <c r="K800" s="3"/>
      <c r="L800" s="3" t="s">
        <v>39</v>
      </c>
      <c r="M800" s="3"/>
      <c r="N800" s="3" t="s">
        <v>40</v>
      </c>
    </row>
    <row r="801" customFormat="false" ht="34.5" hidden="false" customHeight="true" outlineLevel="0" collapsed="false">
      <c r="A801" s="3" t="s">
        <v>737</v>
      </c>
      <c r="B801" s="3" t="s">
        <v>737</v>
      </c>
      <c r="C801" s="4" t="s">
        <v>15</v>
      </c>
      <c r="D801" s="3" t="s">
        <v>16</v>
      </c>
      <c r="E801" s="5" t="n">
        <v>4650</v>
      </c>
      <c r="F801" s="3" t="s">
        <v>16</v>
      </c>
      <c r="G801" s="5" t="n">
        <v>4650</v>
      </c>
      <c r="H801" s="5" t="n">
        <f aca="false">ROUND(ABS(G801)-ABS(E801),2)</f>
        <v>0</v>
      </c>
      <c r="I801" s="3" t="s">
        <v>741</v>
      </c>
      <c r="J801" s="3"/>
      <c r="K801" s="3"/>
      <c r="L801" s="3" t="s">
        <v>742</v>
      </c>
      <c r="M801" s="3" t="s">
        <v>743</v>
      </c>
      <c r="N801" s="3"/>
    </row>
    <row r="802" customFormat="false" ht="34.5" hidden="false" customHeight="true" outlineLevel="0" collapsed="false">
      <c r="A802" s="3" t="s">
        <v>737</v>
      </c>
      <c r="B802" s="3" t="s">
        <v>737</v>
      </c>
      <c r="C802" s="4" t="s">
        <v>15</v>
      </c>
      <c r="D802" s="3" t="s">
        <v>21</v>
      </c>
      <c r="E802" s="5" t="n">
        <v>488.3</v>
      </c>
      <c r="F802" s="3" t="s">
        <v>21</v>
      </c>
      <c r="G802" s="5" t="n">
        <v>488.3</v>
      </c>
      <c r="H802" s="5" t="n">
        <f aca="false">ROUND(ABS(G802)-ABS(E802),2)</f>
        <v>0</v>
      </c>
      <c r="I802" s="3" t="s">
        <v>741</v>
      </c>
      <c r="J802" s="3"/>
      <c r="K802" s="3"/>
      <c r="L802" s="3" t="s">
        <v>742</v>
      </c>
      <c r="M802" s="3" t="s">
        <v>744</v>
      </c>
      <c r="N802" s="3"/>
    </row>
    <row r="803" customFormat="false" ht="34.5" hidden="false" customHeight="true" outlineLevel="0" collapsed="false">
      <c r="A803" s="3" t="s">
        <v>737</v>
      </c>
      <c r="B803" s="3" t="s">
        <v>737</v>
      </c>
      <c r="C803" s="4" t="s">
        <v>15</v>
      </c>
      <c r="D803" s="3" t="s">
        <v>24</v>
      </c>
      <c r="E803" s="5" t="n">
        <v>1560.41</v>
      </c>
      <c r="F803" s="3" t="s">
        <v>24</v>
      </c>
      <c r="G803" s="5" t="n">
        <v>1560.41</v>
      </c>
      <c r="H803" s="5" t="n">
        <f aca="false">ROUND(ABS(G803)-ABS(E803),2)</f>
        <v>0</v>
      </c>
      <c r="I803" s="3" t="s">
        <v>741</v>
      </c>
      <c r="J803" s="3"/>
      <c r="K803" s="3"/>
      <c r="L803" s="3" t="s">
        <v>742</v>
      </c>
      <c r="M803" s="3" t="s">
        <v>745</v>
      </c>
      <c r="N803" s="3"/>
    </row>
    <row r="804" customFormat="false" ht="34.5" hidden="false" customHeight="true" outlineLevel="0" collapsed="false">
      <c r="A804" s="3" t="s">
        <v>737</v>
      </c>
      <c r="B804" s="3" t="s">
        <v>737</v>
      </c>
      <c r="C804" s="7" t="s">
        <v>37</v>
      </c>
      <c r="D804" s="3" t="s">
        <v>25</v>
      </c>
      <c r="E804" s="5" t="n">
        <v>22.88</v>
      </c>
      <c r="F804" s="3" t="s">
        <v>25</v>
      </c>
      <c r="G804" s="5" t="n">
        <v>665.65</v>
      </c>
      <c r="H804" s="5" t="n">
        <f aca="false">ROUND(ABS(G804)-ABS(E804),2)</f>
        <v>642.77</v>
      </c>
      <c r="I804" s="3" t="s">
        <v>741</v>
      </c>
      <c r="J804" s="3"/>
      <c r="K804" s="3"/>
      <c r="L804" s="3" t="s">
        <v>746</v>
      </c>
      <c r="M804" s="3" t="s">
        <v>747</v>
      </c>
      <c r="N804" s="3" t="s">
        <v>62</v>
      </c>
    </row>
    <row r="805" customFormat="false" ht="23.25" hidden="false" customHeight="true" outlineLevel="0" collapsed="false">
      <c r="A805" s="3" t="s">
        <v>737</v>
      </c>
      <c r="B805" s="3" t="s">
        <v>737</v>
      </c>
      <c r="C805" s="7" t="s">
        <v>37</v>
      </c>
      <c r="D805" s="3" t="s">
        <v>29</v>
      </c>
      <c r="E805" s="5" t="s">
        <v>37</v>
      </c>
      <c r="F805" s="3" t="s">
        <v>29</v>
      </c>
      <c r="G805" s="5" t="s">
        <v>37</v>
      </c>
      <c r="H805" s="5" t="s">
        <v>37</v>
      </c>
      <c r="I805" s="3" t="s">
        <v>741</v>
      </c>
      <c r="J805" s="3" t="s">
        <v>38</v>
      </c>
      <c r="K805" s="3"/>
      <c r="L805" s="3" t="s">
        <v>39</v>
      </c>
      <c r="M805" s="3"/>
      <c r="N805" s="3" t="s">
        <v>40</v>
      </c>
    </row>
    <row r="806" customFormat="false" ht="34.5" hidden="false" customHeight="true" outlineLevel="0" collapsed="false">
      <c r="A806" s="3" t="s">
        <v>737</v>
      </c>
      <c r="B806" s="3" t="s">
        <v>737</v>
      </c>
      <c r="C806" s="4" t="s">
        <v>15</v>
      </c>
      <c r="D806" s="3" t="s">
        <v>16</v>
      </c>
      <c r="E806" s="5" t="n">
        <v>2100</v>
      </c>
      <c r="F806" s="3" t="s">
        <v>16</v>
      </c>
      <c r="G806" s="5" t="n">
        <v>2100</v>
      </c>
      <c r="H806" s="5" t="n">
        <f aca="false">ROUND(ABS(G806)-ABS(E806),2)</f>
        <v>0</v>
      </c>
      <c r="I806" s="3" t="s">
        <v>748</v>
      </c>
      <c r="J806" s="3"/>
      <c r="K806" s="3"/>
      <c r="L806" s="3" t="s">
        <v>742</v>
      </c>
      <c r="M806" s="3" t="s">
        <v>749</v>
      </c>
      <c r="N806" s="3"/>
    </row>
    <row r="807" customFormat="false" ht="34.5" hidden="false" customHeight="true" outlineLevel="0" collapsed="false">
      <c r="A807" s="3" t="s">
        <v>737</v>
      </c>
      <c r="B807" s="3" t="s">
        <v>737</v>
      </c>
      <c r="C807" s="4" t="s">
        <v>15</v>
      </c>
      <c r="D807" s="3" t="s">
        <v>21</v>
      </c>
      <c r="E807" s="5" t="n">
        <v>874.31</v>
      </c>
      <c r="F807" s="3" t="s">
        <v>21</v>
      </c>
      <c r="G807" s="5" t="n">
        <v>874.31</v>
      </c>
      <c r="H807" s="5" t="n">
        <f aca="false">ROUND(ABS(G807)-ABS(E807),2)</f>
        <v>0</v>
      </c>
      <c r="I807" s="3" t="s">
        <v>748</v>
      </c>
      <c r="J807" s="3"/>
      <c r="K807" s="3"/>
      <c r="L807" s="3" t="s">
        <v>742</v>
      </c>
      <c r="M807" s="3" t="s">
        <v>750</v>
      </c>
      <c r="N807" s="3"/>
    </row>
    <row r="808" customFormat="false" ht="34.5" hidden="false" customHeight="true" outlineLevel="0" collapsed="false">
      <c r="A808" s="3" t="s">
        <v>737</v>
      </c>
      <c r="B808" s="3" t="s">
        <v>737</v>
      </c>
      <c r="C808" s="4" t="s">
        <v>15</v>
      </c>
      <c r="D808" s="3" t="s">
        <v>22</v>
      </c>
      <c r="E808" s="5" t="n">
        <v>50</v>
      </c>
      <c r="F808" s="3" t="s">
        <v>22</v>
      </c>
      <c r="G808" s="5" t="n">
        <v>50</v>
      </c>
      <c r="H808" s="5" t="n">
        <f aca="false">ROUND(ABS(G808)-ABS(E808),2)</f>
        <v>0</v>
      </c>
      <c r="I808" s="3" t="s">
        <v>748</v>
      </c>
      <c r="J808" s="3"/>
      <c r="K808" s="3"/>
      <c r="L808" s="3" t="s">
        <v>751</v>
      </c>
      <c r="M808" s="3" t="s">
        <v>752</v>
      </c>
      <c r="N808" s="3"/>
    </row>
    <row r="809" customFormat="false" ht="34.5" hidden="false" customHeight="true" outlineLevel="0" collapsed="false">
      <c r="A809" s="3" t="s">
        <v>737</v>
      </c>
      <c r="B809" s="3" t="s">
        <v>737</v>
      </c>
      <c r="C809" s="4" t="s">
        <v>15</v>
      </c>
      <c r="D809" s="3" t="s">
        <v>24</v>
      </c>
      <c r="E809" s="5" t="n">
        <v>1875.94</v>
      </c>
      <c r="F809" s="3" t="s">
        <v>24</v>
      </c>
      <c r="G809" s="5" t="n">
        <v>1875.94</v>
      </c>
      <c r="H809" s="5" t="n">
        <f aca="false">ROUND(ABS(G809)-ABS(E809),2)</f>
        <v>0</v>
      </c>
      <c r="I809" s="3" t="s">
        <v>748</v>
      </c>
      <c r="J809" s="3"/>
      <c r="K809" s="3"/>
      <c r="L809" s="3" t="s">
        <v>742</v>
      </c>
      <c r="M809" s="3" t="s">
        <v>753</v>
      </c>
      <c r="N809" s="3"/>
    </row>
    <row r="810" customFormat="false" ht="45.75" hidden="false" customHeight="true" outlineLevel="0" collapsed="false">
      <c r="A810" s="3" t="s">
        <v>737</v>
      </c>
      <c r="B810" s="3" t="s">
        <v>737</v>
      </c>
      <c r="C810" s="7" t="s">
        <v>37</v>
      </c>
      <c r="D810" s="3" t="s">
        <v>25</v>
      </c>
      <c r="E810" s="5" t="n">
        <v>34.06</v>
      </c>
      <c r="F810" s="3" t="s">
        <v>25</v>
      </c>
      <c r="G810" s="5" t="n">
        <v>676.94</v>
      </c>
      <c r="H810" s="5" t="n">
        <f aca="false">ROUND(ABS(G810)-ABS(E810),2)</f>
        <v>642.88</v>
      </c>
      <c r="I810" s="3" t="s">
        <v>748</v>
      </c>
      <c r="J810" s="3"/>
      <c r="K810" s="3"/>
      <c r="L810" s="3" t="s">
        <v>746</v>
      </c>
      <c r="M810" s="3" t="s">
        <v>754</v>
      </c>
      <c r="N810" s="3" t="s">
        <v>62</v>
      </c>
    </row>
    <row r="811" customFormat="false" ht="23.25" hidden="false" customHeight="true" outlineLevel="0" collapsed="false">
      <c r="A811" s="3" t="s">
        <v>737</v>
      </c>
      <c r="B811" s="3" t="s">
        <v>737</v>
      </c>
      <c r="C811" s="7" t="s">
        <v>37</v>
      </c>
      <c r="D811" s="3" t="s">
        <v>29</v>
      </c>
      <c r="E811" s="5" t="s">
        <v>37</v>
      </c>
      <c r="F811" s="3" t="s">
        <v>29</v>
      </c>
      <c r="G811" s="5" t="s">
        <v>37</v>
      </c>
      <c r="H811" s="5" t="s">
        <v>37</v>
      </c>
      <c r="I811" s="3" t="s">
        <v>748</v>
      </c>
      <c r="J811" s="3" t="s">
        <v>38</v>
      </c>
      <c r="K811" s="3"/>
      <c r="L811" s="3" t="s">
        <v>39</v>
      </c>
      <c r="M811" s="3"/>
      <c r="N811" s="3" t="s">
        <v>40</v>
      </c>
    </row>
    <row r="812" customFormat="false" ht="34.5" hidden="false" customHeight="true" outlineLevel="0" collapsed="false">
      <c r="A812" s="3" t="s">
        <v>737</v>
      </c>
      <c r="B812" s="3" t="s">
        <v>737</v>
      </c>
      <c r="C812" s="4" t="s">
        <v>15</v>
      </c>
      <c r="D812" s="3" t="s">
        <v>16</v>
      </c>
      <c r="E812" s="5" t="n">
        <v>4000</v>
      </c>
      <c r="F812" s="3" t="s">
        <v>16</v>
      </c>
      <c r="G812" s="5" t="n">
        <v>4000</v>
      </c>
      <c r="H812" s="5" t="n">
        <f aca="false">ROUND(ABS(G812)-ABS(E812),2)</f>
        <v>0</v>
      </c>
      <c r="I812" s="3" t="s">
        <v>755</v>
      </c>
      <c r="J812" s="3"/>
      <c r="K812" s="3"/>
      <c r="L812" s="3" t="s">
        <v>742</v>
      </c>
      <c r="M812" s="3" t="s">
        <v>756</v>
      </c>
      <c r="N812" s="3"/>
    </row>
    <row r="813" customFormat="false" ht="34.5" hidden="false" customHeight="true" outlineLevel="0" collapsed="false">
      <c r="A813" s="3" t="s">
        <v>737</v>
      </c>
      <c r="B813" s="3" t="s">
        <v>737</v>
      </c>
      <c r="C813" s="4" t="s">
        <v>15</v>
      </c>
      <c r="D813" s="3" t="s">
        <v>21</v>
      </c>
      <c r="E813" s="5" t="n">
        <v>654.44</v>
      </c>
      <c r="F813" s="3" t="s">
        <v>21</v>
      </c>
      <c r="G813" s="5" t="n">
        <v>654.44</v>
      </c>
      <c r="H813" s="5" t="n">
        <f aca="false">ROUND(ABS(G813)-ABS(E813),2)</f>
        <v>0</v>
      </c>
      <c r="I813" s="3" t="s">
        <v>755</v>
      </c>
      <c r="J813" s="3"/>
      <c r="K813" s="3"/>
      <c r="L813" s="3" t="s">
        <v>742</v>
      </c>
      <c r="M813" s="3" t="s">
        <v>757</v>
      </c>
      <c r="N813" s="3"/>
    </row>
    <row r="814" customFormat="false" ht="34.5" hidden="false" customHeight="true" outlineLevel="0" collapsed="false">
      <c r="A814" s="3" t="s">
        <v>737</v>
      </c>
      <c r="B814" s="3" t="s">
        <v>737</v>
      </c>
      <c r="C814" s="4" t="s">
        <v>15</v>
      </c>
      <c r="D814" s="3" t="s">
        <v>24</v>
      </c>
      <c r="E814" s="5" t="n">
        <v>1968.48</v>
      </c>
      <c r="F814" s="3" t="s">
        <v>24</v>
      </c>
      <c r="G814" s="5" t="n">
        <v>1968.48</v>
      </c>
      <c r="H814" s="5" t="n">
        <f aca="false">ROUND(ABS(G814)-ABS(E814),2)</f>
        <v>0</v>
      </c>
      <c r="I814" s="3" t="s">
        <v>755</v>
      </c>
      <c r="J814" s="3"/>
      <c r="K814" s="3"/>
      <c r="L814" s="3" t="s">
        <v>742</v>
      </c>
      <c r="M814" s="3" t="s">
        <v>758</v>
      </c>
      <c r="N814" s="3"/>
    </row>
    <row r="815" customFormat="false" ht="23.25" hidden="false" customHeight="true" outlineLevel="0" collapsed="false">
      <c r="A815" s="3" t="s">
        <v>737</v>
      </c>
      <c r="B815" s="3" t="s">
        <v>737</v>
      </c>
      <c r="C815" s="7" t="s">
        <v>37</v>
      </c>
      <c r="D815" s="3" t="s">
        <v>25</v>
      </c>
      <c r="E815" s="5" t="n">
        <v>0</v>
      </c>
      <c r="F815" s="3" t="s">
        <v>25</v>
      </c>
      <c r="G815" s="5" t="n">
        <v>47.25</v>
      </c>
      <c r="H815" s="5" t="n">
        <f aca="false">ROUND(ABS(G815)-ABS(E815),2)</f>
        <v>47.25</v>
      </c>
      <c r="I815" s="3" t="s">
        <v>755</v>
      </c>
      <c r="J815" s="3"/>
      <c r="K815" s="3"/>
      <c r="L815" s="3" t="s">
        <v>740</v>
      </c>
      <c r="M815" s="3" t="s">
        <v>759</v>
      </c>
      <c r="N815" s="3" t="s">
        <v>62</v>
      </c>
    </row>
    <row r="816" customFormat="false" ht="23.25" hidden="false" customHeight="true" outlineLevel="0" collapsed="false">
      <c r="A816" s="3" t="s">
        <v>737</v>
      </c>
      <c r="B816" s="3" t="s">
        <v>737</v>
      </c>
      <c r="C816" s="7" t="s">
        <v>37</v>
      </c>
      <c r="D816" s="3" t="s">
        <v>29</v>
      </c>
      <c r="E816" s="5" t="s">
        <v>37</v>
      </c>
      <c r="F816" s="3" t="s">
        <v>29</v>
      </c>
      <c r="G816" s="5" t="s">
        <v>37</v>
      </c>
      <c r="H816" s="5" t="s">
        <v>37</v>
      </c>
      <c r="I816" s="3" t="s">
        <v>755</v>
      </c>
      <c r="J816" s="3" t="s">
        <v>38</v>
      </c>
      <c r="K816" s="3"/>
      <c r="L816" s="3" t="s">
        <v>39</v>
      </c>
      <c r="M816" s="3"/>
      <c r="N816" s="3" t="s">
        <v>40</v>
      </c>
    </row>
    <row r="817" customFormat="false" ht="15" hidden="false" customHeight="true" outlineLevel="0" collapsed="false">
      <c r="A817" s="3" t="s">
        <v>737</v>
      </c>
      <c r="B817" s="3" t="s">
        <v>737</v>
      </c>
      <c r="C817" s="7" t="s">
        <v>37</v>
      </c>
      <c r="D817" s="3" t="s">
        <v>25</v>
      </c>
      <c r="E817" s="5" t="n">
        <v>715.96</v>
      </c>
      <c r="F817" s="3" t="s">
        <v>25</v>
      </c>
      <c r="G817" s="5" t="s">
        <v>37</v>
      </c>
      <c r="H817" s="5" t="s">
        <v>37</v>
      </c>
      <c r="I817" s="3" t="s">
        <v>70</v>
      </c>
      <c r="J817" s="3" t="s">
        <v>71</v>
      </c>
      <c r="K817" s="3"/>
      <c r="L817" s="3" t="s">
        <v>72</v>
      </c>
      <c r="M817" s="3"/>
      <c r="N817" s="3" t="s">
        <v>73</v>
      </c>
    </row>
    <row r="818" customFormat="false" ht="75.75" hidden="false" customHeight="true" outlineLevel="0" collapsed="false">
      <c r="A818" s="8" t="s">
        <v>737</v>
      </c>
      <c r="B818" s="8" t="s">
        <v>737</v>
      </c>
      <c r="C818" s="8" t="s">
        <v>28</v>
      </c>
      <c r="D818" s="8" t="s">
        <v>47</v>
      </c>
      <c r="E818" s="8" t="s">
        <v>760</v>
      </c>
      <c r="F818" s="8" t="s">
        <v>47</v>
      </c>
      <c r="G818" s="8" t="s">
        <v>214</v>
      </c>
      <c r="H818" s="8"/>
      <c r="I818" s="8" t="s">
        <v>49</v>
      </c>
      <c r="J818" s="8" t="s">
        <v>214</v>
      </c>
      <c r="K818" s="8"/>
      <c r="L818" s="8" t="s">
        <v>738</v>
      </c>
      <c r="M818" s="8" t="s">
        <v>739</v>
      </c>
      <c r="N818" s="8" t="s">
        <v>761</v>
      </c>
    </row>
    <row r="819" customFormat="false" ht="23.25" hidden="false" customHeight="true" outlineLevel="0" collapsed="false">
      <c r="A819" s="3" t="s">
        <v>762</v>
      </c>
      <c r="B819" s="3" t="s">
        <v>762</v>
      </c>
      <c r="C819" s="4" t="s">
        <v>15</v>
      </c>
      <c r="D819" s="3" t="s">
        <v>16</v>
      </c>
      <c r="E819" s="5" t="n">
        <v>8500</v>
      </c>
      <c r="F819" s="3" t="s">
        <v>16</v>
      </c>
      <c r="G819" s="5" t="n">
        <v>8500</v>
      </c>
      <c r="H819" s="5" t="n">
        <f aca="false">ROUND(ABS(G819)-ABS(E819),2)</f>
        <v>0</v>
      </c>
      <c r="I819" s="3" t="s">
        <v>17</v>
      </c>
      <c r="J819" s="3" t="s">
        <v>214</v>
      </c>
      <c r="K819" s="3"/>
      <c r="L819" s="3" t="s">
        <v>763</v>
      </c>
      <c r="M819" s="3" t="s">
        <v>764</v>
      </c>
      <c r="N819" s="3"/>
    </row>
    <row r="820" customFormat="false" ht="23.25" hidden="false" customHeight="true" outlineLevel="0" collapsed="false">
      <c r="A820" s="3" t="s">
        <v>762</v>
      </c>
      <c r="B820" s="3" t="s">
        <v>762</v>
      </c>
      <c r="C820" s="4" t="s">
        <v>15</v>
      </c>
      <c r="D820" s="3" t="s">
        <v>21</v>
      </c>
      <c r="E820" s="5" t="n">
        <v>1901.25</v>
      </c>
      <c r="F820" s="3" t="s">
        <v>21</v>
      </c>
      <c r="G820" s="5" t="n">
        <v>1901.25</v>
      </c>
      <c r="H820" s="5" t="n">
        <f aca="false">ROUND(ABS(G820)-ABS(E820),2)</f>
        <v>0</v>
      </c>
      <c r="I820" s="3" t="s">
        <v>17</v>
      </c>
      <c r="J820" s="3" t="s">
        <v>214</v>
      </c>
      <c r="K820" s="3"/>
      <c r="L820" s="3" t="s">
        <v>763</v>
      </c>
      <c r="M820" s="3" t="s">
        <v>764</v>
      </c>
      <c r="N820" s="3"/>
    </row>
    <row r="821" customFormat="false" ht="23.25" hidden="false" customHeight="true" outlineLevel="0" collapsed="false">
      <c r="A821" s="3" t="s">
        <v>762</v>
      </c>
      <c r="B821" s="3" t="s">
        <v>762</v>
      </c>
      <c r="C821" s="4" t="s">
        <v>15</v>
      </c>
      <c r="D821" s="3" t="s">
        <v>22</v>
      </c>
      <c r="E821" s="5" t="n">
        <v>110</v>
      </c>
      <c r="F821" s="3" t="s">
        <v>22</v>
      </c>
      <c r="G821" s="5" t="n">
        <v>110</v>
      </c>
      <c r="H821" s="5" t="n">
        <f aca="false">ROUND(ABS(G821)-ABS(E821),2)</f>
        <v>0</v>
      </c>
      <c r="I821" s="3" t="s">
        <v>17</v>
      </c>
      <c r="J821" s="3" t="s">
        <v>214</v>
      </c>
      <c r="K821" s="3"/>
      <c r="L821" s="3" t="s">
        <v>763</v>
      </c>
      <c r="M821" s="3" t="s">
        <v>764</v>
      </c>
      <c r="N821" s="3" t="s">
        <v>23</v>
      </c>
    </row>
    <row r="822" customFormat="false" ht="23.25" hidden="false" customHeight="true" outlineLevel="0" collapsed="false">
      <c r="A822" s="3" t="s">
        <v>762</v>
      </c>
      <c r="B822" s="3" t="s">
        <v>762</v>
      </c>
      <c r="C822" s="4" t="s">
        <v>15</v>
      </c>
      <c r="D822" s="3" t="s">
        <v>24</v>
      </c>
      <c r="E822" s="5" t="n">
        <v>4705.11</v>
      </c>
      <c r="F822" s="3" t="s">
        <v>24</v>
      </c>
      <c r="G822" s="5" t="n">
        <v>4705.11</v>
      </c>
      <c r="H822" s="5" t="n">
        <f aca="false">ROUND(ABS(G822)-ABS(E822),2)</f>
        <v>0</v>
      </c>
      <c r="I822" s="3" t="s">
        <v>17</v>
      </c>
      <c r="J822" s="3" t="s">
        <v>214</v>
      </c>
      <c r="K822" s="3"/>
      <c r="L822" s="3" t="s">
        <v>763</v>
      </c>
      <c r="M822" s="3" t="s">
        <v>764</v>
      </c>
      <c r="N822" s="3"/>
    </row>
    <row r="823" customFormat="false" ht="23.25" hidden="false" customHeight="true" outlineLevel="0" collapsed="false">
      <c r="A823" s="3" t="s">
        <v>762</v>
      </c>
      <c r="B823" s="3" t="s">
        <v>762</v>
      </c>
      <c r="C823" s="6" t="s">
        <v>28</v>
      </c>
      <c r="D823" s="3" t="s">
        <v>25</v>
      </c>
      <c r="E823" s="5" t="n">
        <v>239.8</v>
      </c>
      <c r="F823" s="3" t="s">
        <v>25</v>
      </c>
      <c r="G823" s="5" t="n">
        <v>336.69</v>
      </c>
      <c r="H823" s="5" t="n">
        <f aca="false">ROUND(ABS(G823)-ABS(E823),2)</f>
        <v>96.89</v>
      </c>
      <c r="I823" s="3" t="s">
        <v>17</v>
      </c>
      <c r="J823" s="3" t="s">
        <v>214</v>
      </c>
      <c r="K823" s="3"/>
      <c r="L823" s="3" t="s">
        <v>763</v>
      </c>
      <c r="M823" s="3" t="s">
        <v>764</v>
      </c>
      <c r="N823" s="3"/>
    </row>
    <row r="824" customFormat="false" ht="23.25" hidden="false" customHeight="true" outlineLevel="0" collapsed="false">
      <c r="A824" s="3" t="s">
        <v>762</v>
      </c>
      <c r="B824" s="3" t="s">
        <v>762</v>
      </c>
      <c r="C824" s="4" t="s">
        <v>15</v>
      </c>
      <c r="D824" s="3" t="s">
        <v>26</v>
      </c>
      <c r="E824" s="5" t="n">
        <v>0</v>
      </c>
      <c r="F824" s="3" t="s">
        <v>26</v>
      </c>
      <c r="G824" s="5" t="n">
        <v>0</v>
      </c>
      <c r="H824" s="5" t="n">
        <f aca="false">ROUND(ABS(G824)-ABS(E824),2)</f>
        <v>0</v>
      </c>
      <c r="I824" s="3" t="s">
        <v>17</v>
      </c>
      <c r="J824" s="3" t="s">
        <v>214</v>
      </c>
      <c r="K824" s="3"/>
      <c r="L824" s="3" t="s">
        <v>763</v>
      </c>
      <c r="M824" s="3" t="s">
        <v>764</v>
      </c>
      <c r="N824" s="3" t="s">
        <v>27</v>
      </c>
    </row>
    <row r="825" customFormat="false" ht="23.25" hidden="false" customHeight="true" outlineLevel="0" collapsed="false">
      <c r="A825" s="3" t="s">
        <v>762</v>
      </c>
      <c r="B825" s="3" t="s">
        <v>762</v>
      </c>
      <c r="C825" s="6" t="s">
        <v>28</v>
      </c>
      <c r="D825" s="3" t="s">
        <v>29</v>
      </c>
      <c r="E825" s="5" t="n">
        <v>1426.34</v>
      </c>
      <c r="F825" s="3" t="s">
        <v>29</v>
      </c>
      <c r="G825" s="5" t="n">
        <v>-3432.75</v>
      </c>
      <c r="H825" s="5" t="n">
        <f aca="false">ROUND(ABS(G825)-ABS(E825),2)</f>
        <v>2006.41</v>
      </c>
      <c r="I825" s="3" t="s">
        <v>17</v>
      </c>
      <c r="J825" s="3" t="s">
        <v>214</v>
      </c>
      <c r="K825" s="3"/>
      <c r="L825" s="3" t="s">
        <v>763</v>
      </c>
      <c r="M825" s="3" t="s">
        <v>764</v>
      </c>
      <c r="N825" s="3" t="s">
        <v>30</v>
      </c>
    </row>
    <row r="826" customFormat="false" ht="34.5" hidden="false" customHeight="true" outlineLevel="0" collapsed="false">
      <c r="A826" s="3" t="s">
        <v>762</v>
      </c>
      <c r="B826" s="3" t="s">
        <v>762</v>
      </c>
      <c r="C826" s="4" t="s">
        <v>15</v>
      </c>
      <c r="D826" s="3" t="s">
        <v>16</v>
      </c>
      <c r="E826" s="5" t="n">
        <v>4900</v>
      </c>
      <c r="F826" s="3" t="s">
        <v>16</v>
      </c>
      <c r="G826" s="5" t="n">
        <v>4900</v>
      </c>
      <c r="H826" s="5" t="n">
        <f aca="false">ROUND(ABS(G826)-ABS(E826),2)</f>
        <v>0</v>
      </c>
      <c r="I826" s="3" t="s">
        <v>765</v>
      </c>
      <c r="J826" s="3"/>
      <c r="K826" s="3"/>
      <c r="L826" s="3" t="s">
        <v>766</v>
      </c>
      <c r="M826" s="3" t="s">
        <v>767</v>
      </c>
      <c r="N826" s="3"/>
    </row>
    <row r="827" customFormat="false" ht="34.5" hidden="false" customHeight="true" outlineLevel="0" collapsed="false">
      <c r="A827" s="3" t="s">
        <v>762</v>
      </c>
      <c r="B827" s="3" t="s">
        <v>762</v>
      </c>
      <c r="C827" s="4" t="s">
        <v>15</v>
      </c>
      <c r="D827" s="3" t="s">
        <v>21</v>
      </c>
      <c r="E827" s="5" t="n">
        <v>945.1</v>
      </c>
      <c r="F827" s="3" t="s">
        <v>21</v>
      </c>
      <c r="G827" s="5" t="n">
        <v>945.1</v>
      </c>
      <c r="H827" s="5" t="n">
        <f aca="false">ROUND(ABS(G827)-ABS(E827),2)</f>
        <v>0</v>
      </c>
      <c r="I827" s="3" t="s">
        <v>765</v>
      </c>
      <c r="J827" s="3"/>
      <c r="K827" s="3"/>
      <c r="L827" s="3" t="s">
        <v>766</v>
      </c>
      <c r="M827" s="3" t="s">
        <v>768</v>
      </c>
      <c r="N827" s="3"/>
    </row>
    <row r="828" customFormat="false" ht="34.5" hidden="false" customHeight="true" outlineLevel="0" collapsed="false">
      <c r="A828" s="3" t="s">
        <v>762</v>
      </c>
      <c r="B828" s="3" t="s">
        <v>762</v>
      </c>
      <c r="C828" s="4" t="s">
        <v>15</v>
      </c>
      <c r="D828" s="3" t="s">
        <v>22</v>
      </c>
      <c r="E828" s="5" t="n">
        <v>60</v>
      </c>
      <c r="F828" s="3" t="s">
        <v>22</v>
      </c>
      <c r="G828" s="5" t="n">
        <v>60</v>
      </c>
      <c r="H828" s="5" t="n">
        <f aca="false">ROUND(ABS(G828)-ABS(E828),2)</f>
        <v>0</v>
      </c>
      <c r="I828" s="3" t="s">
        <v>765</v>
      </c>
      <c r="J828" s="3"/>
      <c r="K828" s="3"/>
      <c r="L828" s="3" t="s">
        <v>769</v>
      </c>
      <c r="M828" s="3" t="s">
        <v>770</v>
      </c>
      <c r="N828" s="3"/>
    </row>
    <row r="829" customFormat="false" ht="34.5" hidden="false" customHeight="true" outlineLevel="0" collapsed="false">
      <c r="A829" s="3" t="s">
        <v>762</v>
      </c>
      <c r="B829" s="3" t="s">
        <v>762</v>
      </c>
      <c r="C829" s="4" t="s">
        <v>15</v>
      </c>
      <c r="D829" s="3" t="s">
        <v>24</v>
      </c>
      <c r="E829" s="5" t="n">
        <v>2297.31</v>
      </c>
      <c r="F829" s="3" t="s">
        <v>24</v>
      </c>
      <c r="G829" s="5" t="n">
        <v>2297.31</v>
      </c>
      <c r="H829" s="5" t="n">
        <f aca="false">ROUND(ABS(G829)-ABS(E829),2)</f>
        <v>0</v>
      </c>
      <c r="I829" s="3" t="s">
        <v>765</v>
      </c>
      <c r="J829" s="3"/>
      <c r="K829" s="3"/>
      <c r="L829" s="3" t="s">
        <v>766</v>
      </c>
      <c r="M829" s="3" t="s">
        <v>771</v>
      </c>
      <c r="N829" s="3"/>
    </row>
    <row r="830" customFormat="false" ht="34.5" hidden="false" customHeight="true" outlineLevel="0" collapsed="false">
      <c r="A830" s="3" t="s">
        <v>762</v>
      </c>
      <c r="B830" s="3" t="s">
        <v>762</v>
      </c>
      <c r="C830" s="7" t="s">
        <v>37</v>
      </c>
      <c r="D830" s="3" t="s">
        <v>25</v>
      </c>
      <c r="E830" s="5" t="n">
        <v>96.89</v>
      </c>
      <c r="F830" s="3" t="s">
        <v>25</v>
      </c>
      <c r="G830" s="5" t="n">
        <v>162.1</v>
      </c>
      <c r="H830" s="5" t="n">
        <f aca="false">ROUND(ABS(G830)-ABS(E830),2)</f>
        <v>65.21</v>
      </c>
      <c r="I830" s="3" t="s">
        <v>765</v>
      </c>
      <c r="J830" s="3"/>
      <c r="K830" s="3"/>
      <c r="L830" s="3" t="s">
        <v>772</v>
      </c>
      <c r="M830" s="3" t="s">
        <v>773</v>
      </c>
      <c r="N830" s="3" t="s">
        <v>62</v>
      </c>
    </row>
    <row r="831" customFormat="false" ht="23.25" hidden="false" customHeight="true" outlineLevel="0" collapsed="false">
      <c r="A831" s="3" t="s">
        <v>762</v>
      </c>
      <c r="B831" s="3" t="s">
        <v>762</v>
      </c>
      <c r="C831" s="7" t="s">
        <v>37</v>
      </c>
      <c r="D831" s="3" t="s">
        <v>29</v>
      </c>
      <c r="E831" s="5" t="s">
        <v>37</v>
      </c>
      <c r="F831" s="3" t="s">
        <v>29</v>
      </c>
      <c r="G831" s="5" t="s">
        <v>37</v>
      </c>
      <c r="H831" s="5" t="s">
        <v>37</v>
      </c>
      <c r="I831" s="3" t="s">
        <v>765</v>
      </c>
      <c r="J831" s="3" t="s">
        <v>38</v>
      </c>
      <c r="K831" s="3"/>
      <c r="L831" s="3" t="s">
        <v>39</v>
      </c>
      <c r="M831" s="3"/>
      <c r="N831" s="3" t="s">
        <v>40</v>
      </c>
    </row>
    <row r="832" customFormat="false" ht="34.5" hidden="false" customHeight="true" outlineLevel="0" collapsed="false">
      <c r="A832" s="3" t="s">
        <v>762</v>
      </c>
      <c r="B832" s="3" t="s">
        <v>762</v>
      </c>
      <c r="C832" s="4" t="s">
        <v>15</v>
      </c>
      <c r="D832" s="3" t="s">
        <v>16</v>
      </c>
      <c r="E832" s="5" t="n">
        <v>3600</v>
      </c>
      <c r="F832" s="3" t="s">
        <v>16</v>
      </c>
      <c r="G832" s="5" t="n">
        <v>3600</v>
      </c>
      <c r="H832" s="5" t="n">
        <f aca="false">ROUND(ABS(G832)-ABS(E832),2)</f>
        <v>0</v>
      </c>
      <c r="I832" s="3" t="s">
        <v>774</v>
      </c>
      <c r="J832" s="3"/>
      <c r="K832" s="3"/>
      <c r="L832" s="3" t="s">
        <v>766</v>
      </c>
      <c r="M832" s="3" t="s">
        <v>775</v>
      </c>
      <c r="N832" s="3"/>
    </row>
    <row r="833" customFormat="false" ht="34.5" hidden="false" customHeight="true" outlineLevel="0" collapsed="false">
      <c r="A833" s="3" t="s">
        <v>762</v>
      </c>
      <c r="B833" s="3" t="s">
        <v>762</v>
      </c>
      <c r="C833" s="4" t="s">
        <v>15</v>
      </c>
      <c r="D833" s="3" t="s">
        <v>21</v>
      </c>
      <c r="E833" s="5" t="n">
        <v>956.15</v>
      </c>
      <c r="F833" s="3" t="s">
        <v>21</v>
      </c>
      <c r="G833" s="5" t="n">
        <v>956.15</v>
      </c>
      <c r="H833" s="5" t="n">
        <f aca="false">ROUND(ABS(G833)-ABS(E833),2)</f>
        <v>0</v>
      </c>
      <c r="I833" s="3" t="s">
        <v>774</v>
      </c>
      <c r="J833" s="3"/>
      <c r="K833" s="3"/>
      <c r="L833" s="3" t="s">
        <v>766</v>
      </c>
      <c r="M833" s="3" t="s">
        <v>776</v>
      </c>
      <c r="N833" s="3"/>
    </row>
    <row r="834" customFormat="false" ht="34.5" hidden="false" customHeight="true" outlineLevel="0" collapsed="false">
      <c r="A834" s="3" t="s">
        <v>762</v>
      </c>
      <c r="B834" s="3" t="s">
        <v>762</v>
      </c>
      <c r="C834" s="4" t="s">
        <v>15</v>
      </c>
      <c r="D834" s="3" t="s">
        <v>22</v>
      </c>
      <c r="E834" s="5" t="n">
        <v>50</v>
      </c>
      <c r="F834" s="3" t="s">
        <v>22</v>
      </c>
      <c r="G834" s="5" t="n">
        <v>50</v>
      </c>
      <c r="H834" s="5" t="n">
        <f aca="false">ROUND(ABS(G834)-ABS(E834),2)</f>
        <v>0</v>
      </c>
      <c r="I834" s="3" t="s">
        <v>774</v>
      </c>
      <c r="J834" s="3"/>
      <c r="K834" s="3"/>
      <c r="L834" s="3" t="s">
        <v>769</v>
      </c>
      <c r="M834" s="3" t="s">
        <v>777</v>
      </c>
      <c r="N834" s="3"/>
    </row>
    <row r="835" customFormat="false" ht="34.5" hidden="false" customHeight="true" outlineLevel="0" collapsed="false">
      <c r="A835" s="3" t="s">
        <v>762</v>
      </c>
      <c r="B835" s="3" t="s">
        <v>762</v>
      </c>
      <c r="C835" s="4" t="s">
        <v>15</v>
      </c>
      <c r="D835" s="3" t="s">
        <v>24</v>
      </c>
      <c r="E835" s="5" t="n">
        <v>2407.8</v>
      </c>
      <c r="F835" s="3" t="s">
        <v>24</v>
      </c>
      <c r="G835" s="5" t="n">
        <v>2407.8</v>
      </c>
      <c r="H835" s="5" t="n">
        <f aca="false">ROUND(ABS(G835)-ABS(E835),2)</f>
        <v>0</v>
      </c>
      <c r="I835" s="3" t="s">
        <v>774</v>
      </c>
      <c r="J835" s="3"/>
      <c r="K835" s="3"/>
      <c r="L835" s="3" t="s">
        <v>766</v>
      </c>
      <c r="M835" s="3" t="s">
        <v>778</v>
      </c>
      <c r="N835" s="3"/>
    </row>
    <row r="836" customFormat="false" ht="34.5" hidden="false" customHeight="true" outlineLevel="0" collapsed="false">
      <c r="A836" s="3" t="s">
        <v>762</v>
      </c>
      <c r="B836" s="3" t="s">
        <v>762</v>
      </c>
      <c r="C836" s="7" t="s">
        <v>37</v>
      </c>
      <c r="D836" s="3" t="s">
        <v>25</v>
      </c>
      <c r="E836" s="5" t="n">
        <v>77.7</v>
      </c>
      <c r="F836" s="3" t="s">
        <v>25</v>
      </c>
      <c r="G836" s="5" t="n">
        <v>174.59</v>
      </c>
      <c r="H836" s="5" t="n">
        <f aca="false">ROUND(ABS(G836)-ABS(E836),2)</f>
        <v>96.89</v>
      </c>
      <c r="I836" s="3" t="s">
        <v>774</v>
      </c>
      <c r="J836" s="3"/>
      <c r="K836" s="3"/>
      <c r="L836" s="3" t="s">
        <v>772</v>
      </c>
      <c r="M836" s="3" t="s">
        <v>779</v>
      </c>
      <c r="N836" s="3" t="s">
        <v>62</v>
      </c>
    </row>
    <row r="837" customFormat="false" ht="23.25" hidden="false" customHeight="true" outlineLevel="0" collapsed="false">
      <c r="A837" s="3" t="s">
        <v>762</v>
      </c>
      <c r="B837" s="3" t="s">
        <v>762</v>
      </c>
      <c r="C837" s="7" t="s">
        <v>37</v>
      </c>
      <c r="D837" s="3" t="s">
        <v>29</v>
      </c>
      <c r="E837" s="5" t="s">
        <v>37</v>
      </c>
      <c r="F837" s="3" t="s">
        <v>29</v>
      </c>
      <c r="G837" s="5" t="s">
        <v>37</v>
      </c>
      <c r="H837" s="5" t="s">
        <v>37</v>
      </c>
      <c r="I837" s="3" t="s">
        <v>774</v>
      </c>
      <c r="J837" s="3" t="s">
        <v>38</v>
      </c>
      <c r="K837" s="3"/>
      <c r="L837" s="3" t="s">
        <v>39</v>
      </c>
      <c r="M837" s="3"/>
      <c r="N837" s="3" t="s">
        <v>40</v>
      </c>
    </row>
    <row r="838" customFormat="false" ht="15" hidden="false" customHeight="true" outlineLevel="0" collapsed="false">
      <c r="A838" s="3" t="s">
        <v>762</v>
      </c>
      <c r="B838" s="3" t="s">
        <v>762</v>
      </c>
      <c r="C838" s="7" t="s">
        <v>37</v>
      </c>
      <c r="D838" s="3" t="s">
        <v>25</v>
      </c>
      <c r="E838" s="5" t="n">
        <v>65.21</v>
      </c>
      <c r="F838" s="3" t="s">
        <v>25</v>
      </c>
      <c r="G838" s="5" t="s">
        <v>37</v>
      </c>
      <c r="H838" s="5" t="s">
        <v>37</v>
      </c>
      <c r="I838" s="3" t="s">
        <v>70</v>
      </c>
      <c r="J838" s="3" t="s">
        <v>71</v>
      </c>
      <c r="K838" s="3"/>
      <c r="L838" s="3" t="s">
        <v>72</v>
      </c>
      <c r="M838" s="3"/>
      <c r="N838" s="3" t="s">
        <v>73</v>
      </c>
    </row>
    <row r="839" customFormat="false" ht="75.75" hidden="false" customHeight="true" outlineLevel="0" collapsed="false">
      <c r="A839" s="8" t="s">
        <v>762</v>
      </c>
      <c r="B839" s="8" t="s">
        <v>762</v>
      </c>
      <c r="C839" s="8" t="s">
        <v>28</v>
      </c>
      <c r="D839" s="8" t="s">
        <v>47</v>
      </c>
      <c r="E839" s="8" t="s">
        <v>780</v>
      </c>
      <c r="F839" s="8" t="s">
        <v>47</v>
      </c>
      <c r="G839" s="8" t="s">
        <v>214</v>
      </c>
      <c r="H839" s="8"/>
      <c r="I839" s="8" t="s">
        <v>49</v>
      </c>
      <c r="J839" s="8" t="s">
        <v>214</v>
      </c>
      <c r="K839" s="8"/>
      <c r="L839" s="8" t="s">
        <v>763</v>
      </c>
      <c r="M839" s="8" t="s">
        <v>764</v>
      </c>
      <c r="N839" s="8" t="s">
        <v>781</v>
      </c>
    </row>
    <row r="840" customFormat="false" ht="23.25" hidden="false" customHeight="true" outlineLevel="0" collapsed="false">
      <c r="A840" s="3" t="s">
        <v>782</v>
      </c>
      <c r="B840" s="3" t="s">
        <v>782</v>
      </c>
      <c r="C840" s="4" t="s">
        <v>15</v>
      </c>
      <c r="D840" s="3" t="s">
        <v>16</v>
      </c>
      <c r="E840" s="5" t="n">
        <v>11950</v>
      </c>
      <c r="F840" s="3" t="s">
        <v>16</v>
      </c>
      <c r="G840" s="5" t="n">
        <v>11950</v>
      </c>
      <c r="H840" s="5" t="n">
        <f aca="false">ROUND(ABS(G840)-ABS(E840),2)</f>
        <v>0</v>
      </c>
      <c r="I840" s="3" t="s">
        <v>17</v>
      </c>
      <c r="J840" s="3" t="s">
        <v>214</v>
      </c>
      <c r="K840" s="3"/>
      <c r="L840" s="3" t="s">
        <v>783</v>
      </c>
      <c r="M840" s="3" t="s">
        <v>784</v>
      </c>
      <c r="N840" s="3"/>
    </row>
    <row r="841" customFormat="false" ht="23.25" hidden="false" customHeight="true" outlineLevel="0" collapsed="false">
      <c r="A841" s="3" t="s">
        <v>782</v>
      </c>
      <c r="B841" s="3" t="s">
        <v>782</v>
      </c>
      <c r="C841" s="4" t="s">
        <v>15</v>
      </c>
      <c r="D841" s="3" t="s">
        <v>21</v>
      </c>
      <c r="E841" s="5" t="n">
        <v>1965.97</v>
      </c>
      <c r="F841" s="3" t="s">
        <v>21</v>
      </c>
      <c r="G841" s="5" t="n">
        <v>1965.97</v>
      </c>
      <c r="H841" s="5" t="n">
        <f aca="false">ROUND(ABS(G841)-ABS(E841),2)</f>
        <v>0</v>
      </c>
      <c r="I841" s="3" t="s">
        <v>17</v>
      </c>
      <c r="J841" s="3" t="s">
        <v>214</v>
      </c>
      <c r="K841" s="3"/>
      <c r="L841" s="3" t="s">
        <v>783</v>
      </c>
      <c r="M841" s="3" t="s">
        <v>784</v>
      </c>
      <c r="N841" s="3"/>
    </row>
    <row r="842" customFormat="false" ht="23.25" hidden="false" customHeight="true" outlineLevel="0" collapsed="false">
      <c r="A842" s="3" t="s">
        <v>782</v>
      </c>
      <c r="B842" s="3" t="s">
        <v>782</v>
      </c>
      <c r="C842" s="4" t="s">
        <v>15</v>
      </c>
      <c r="D842" s="3" t="s">
        <v>22</v>
      </c>
      <c r="E842" s="5" t="n">
        <v>195</v>
      </c>
      <c r="F842" s="3" t="s">
        <v>22</v>
      </c>
      <c r="G842" s="5" t="n">
        <v>195</v>
      </c>
      <c r="H842" s="5" t="n">
        <f aca="false">ROUND(ABS(G842)-ABS(E842),2)</f>
        <v>0</v>
      </c>
      <c r="I842" s="3" t="s">
        <v>17</v>
      </c>
      <c r="J842" s="3" t="s">
        <v>214</v>
      </c>
      <c r="K842" s="3"/>
      <c r="L842" s="3" t="s">
        <v>783</v>
      </c>
      <c r="M842" s="3" t="s">
        <v>784</v>
      </c>
      <c r="N842" s="3" t="s">
        <v>23</v>
      </c>
    </row>
    <row r="843" customFormat="false" ht="23.25" hidden="false" customHeight="true" outlineLevel="0" collapsed="false">
      <c r="A843" s="3" t="s">
        <v>782</v>
      </c>
      <c r="B843" s="3" t="s">
        <v>782</v>
      </c>
      <c r="C843" s="4" t="s">
        <v>15</v>
      </c>
      <c r="D843" s="3" t="s">
        <v>24</v>
      </c>
      <c r="E843" s="5" t="n">
        <v>5981.29</v>
      </c>
      <c r="F843" s="3" t="s">
        <v>24</v>
      </c>
      <c r="G843" s="5" t="n">
        <v>5981.29</v>
      </c>
      <c r="H843" s="5" t="n">
        <f aca="false">ROUND(ABS(G843)-ABS(E843),2)</f>
        <v>0</v>
      </c>
      <c r="I843" s="3" t="s">
        <v>17</v>
      </c>
      <c r="J843" s="3" t="s">
        <v>214</v>
      </c>
      <c r="K843" s="3"/>
      <c r="L843" s="3" t="s">
        <v>783</v>
      </c>
      <c r="M843" s="3" t="s">
        <v>784</v>
      </c>
      <c r="N843" s="3"/>
    </row>
    <row r="844" customFormat="false" ht="23.25" hidden="false" customHeight="true" outlineLevel="0" collapsed="false">
      <c r="A844" s="3" t="s">
        <v>782</v>
      </c>
      <c r="B844" s="3" t="s">
        <v>782</v>
      </c>
      <c r="C844" s="6" t="s">
        <v>28</v>
      </c>
      <c r="D844" s="3" t="s">
        <v>25</v>
      </c>
      <c r="E844" s="5" t="n">
        <v>511.01</v>
      </c>
      <c r="F844" s="3" t="s">
        <v>25</v>
      </c>
      <c r="G844" s="5" t="n">
        <v>640.12</v>
      </c>
      <c r="H844" s="5" t="n">
        <f aca="false">ROUND(ABS(G844)-ABS(E844),2)</f>
        <v>129.11</v>
      </c>
      <c r="I844" s="3" t="s">
        <v>17</v>
      </c>
      <c r="J844" s="3" t="s">
        <v>214</v>
      </c>
      <c r="K844" s="3"/>
      <c r="L844" s="3" t="s">
        <v>783</v>
      </c>
      <c r="M844" s="3" t="s">
        <v>784</v>
      </c>
      <c r="N844" s="3"/>
    </row>
    <row r="845" customFormat="false" ht="23.25" hidden="false" customHeight="true" outlineLevel="0" collapsed="false">
      <c r="A845" s="3" t="s">
        <v>782</v>
      </c>
      <c r="B845" s="3" t="s">
        <v>782</v>
      </c>
      <c r="C845" s="4" t="s">
        <v>15</v>
      </c>
      <c r="D845" s="3" t="s">
        <v>26</v>
      </c>
      <c r="E845" s="5" t="n">
        <v>0</v>
      </c>
      <c r="F845" s="3" t="s">
        <v>26</v>
      </c>
      <c r="G845" s="5" t="n">
        <v>0</v>
      </c>
      <c r="H845" s="5" t="n">
        <f aca="false">ROUND(ABS(G845)-ABS(E845),2)</f>
        <v>0</v>
      </c>
      <c r="I845" s="3" t="s">
        <v>17</v>
      </c>
      <c r="J845" s="3" t="s">
        <v>214</v>
      </c>
      <c r="K845" s="3"/>
      <c r="L845" s="3" t="s">
        <v>783</v>
      </c>
      <c r="M845" s="3" t="s">
        <v>784</v>
      </c>
      <c r="N845" s="3" t="s">
        <v>27</v>
      </c>
    </row>
    <row r="846" customFormat="false" ht="23.25" hidden="false" customHeight="true" outlineLevel="0" collapsed="false">
      <c r="A846" s="3" t="s">
        <v>782</v>
      </c>
      <c r="B846" s="3" t="s">
        <v>782</v>
      </c>
      <c r="C846" s="6" t="s">
        <v>28</v>
      </c>
      <c r="D846" s="3" t="s">
        <v>29</v>
      </c>
      <c r="E846" s="5" t="n">
        <v>3193.98</v>
      </c>
      <c r="F846" s="3" t="s">
        <v>29</v>
      </c>
      <c r="G846" s="5" t="n">
        <v>-2979.68</v>
      </c>
      <c r="H846" s="5" t="n">
        <f aca="false">ROUND(ABS(G846)-ABS(E846),2)</f>
        <v>-214.3</v>
      </c>
      <c r="I846" s="3" t="s">
        <v>17</v>
      </c>
      <c r="J846" s="3" t="s">
        <v>214</v>
      </c>
      <c r="K846" s="3"/>
      <c r="L846" s="3" t="s">
        <v>783</v>
      </c>
      <c r="M846" s="3" t="s">
        <v>784</v>
      </c>
      <c r="N846" s="3" t="s">
        <v>30</v>
      </c>
    </row>
    <row r="847" customFormat="false" ht="34.5" hidden="false" customHeight="true" outlineLevel="0" collapsed="false">
      <c r="A847" s="3" t="s">
        <v>782</v>
      </c>
      <c r="B847" s="3" t="s">
        <v>782</v>
      </c>
      <c r="C847" s="4" t="s">
        <v>15</v>
      </c>
      <c r="D847" s="3" t="s">
        <v>16</v>
      </c>
      <c r="E847" s="5" t="n">
        <v>6850</v>
      </c>
      <c r="F847" s="3" t="s">
        <v>16</v>
      </c>
      <c r="G847" s="5" t="n">
        <v>6850</v>
      </c>
      <c r="H847" s="5" t="n">
        <f aca="false">ROUND(ABS(G847)-ABS(E847),2)</f>
        <v>0</v>
      </c>
      <c r="I847" s="3" t="s">
        <v>785</v>
      </c>
      <c r="J847" s="3"/>
      <c r="K847" s="3"/>
      <c r="L847" s="3" t="s">
        <v>786</v>
      </c>
      <c r="M847" s="3" t="s">
        <v>787</v>
      </c>
      <c r="N847" s="3"/>
    </row>
    <row r="848" customFormat="false" ht="34.5" hidden="false" customHeight="true" outlineLevel="0" collapsed="false">
      <c r="A848" s="3" t="s">
        <v>782</v>
      </c>
      <c r="B848" s="3" t="s">
        <v>782</v>
      </c>
      <c r="C848" s="4" t="s">
        <v>15</v>
      </c>
      <c r="D848" s="3" t="s">
        <v>21</v>
      </c>
      <c r="E848" s="5" t="n">
        <v>959.81</v>
      </c>
      <c r="F848" s="3" t="s">
        <v>21</v>
      </c>
      <c r="G848" s="5" t="n">
        <v>959.81</v>
      </c>
      <c r="H848" s="5" t="n">
        <f aca="false">ROUND(ABS(G848)-ABS(E848),2)</f>
        <v>0</v>
      </c>
      <c r="I848" s="3" t="s">
        <v>785</v>
      </c>
      <c r="J848" s="3"/>
      <c r="K848" s="3"/>
      <c r="L848" s="3" t="s">
        <v>786</v>
      </c>
      <c r="M848" s="3" t="s">
        <v>788</v>
      </c>
      <c r="N848" s="3"/>
    </row>
    <row r="849" customFormat="false" ht="34.5" hidden="false" customHeight="true" outlineLevel="0" collapsed="false">
      <c r="A849" s="3" t="s">
        <v>782</v>
      </c>
      <c r="B849" s="3" t="s">
        <v>782</v>
      </c>
      <c r="C849" s="4" t="s">
        <v>15</v>
      </c>
      <c r="D849" s="3" t="s">
        <v>22</v>
      </c>
      <c r="E849" s="5" t="n">
        <v>75</v>
      </c>
      <c r="F849" s="3" t="s">
        <v>22</v>
      </c>
      <c r="G849" s="5" t="n">
        <v>75</v>
      </c>
      <c r="H849" s="5" t="n">
        <f aca="false">ROUND(ABS(G849)-ABS(E849),2)</f>
        <v>0</v>
      </c>
      <c r="I849" s="3" t="s">
        <v>785</v>
      </c>
      <c r="J849" s="3"/>
      <c r="K849" s="3"/>
      <c r="L849" s="3" t="s">
        <v>789</v>
      </c>
      <c r="M849" s="3" t="s">
        <v>790</v>
      </c>
      <c r="N849" s="3"/>
    </row>
    <row r="850" customFormat="false" ht="34.5" hidden="false" customHeight="true" outlineLevel="0" collapsed="false">
      <c r="A850" s="3" t="s">
        <v>782</v>
      </c>
      <c r="B850" s="3" t="s">
        <v>782</v>
      </c>
      <c r="C850" s="4" t="s">
        <v>15</v>
      </c>
      <c r="D850" s="3" t="s">
        <v>24</v>
      </c>
      <c r="E850" s="5" t="n">
        <v>2258.89</v>
      </c>
      <c r="F850" s="3" t="s">
        <v>24</v>
      </c>
      <c r="G850" s="5" t="n">
        <v>2258.89</v>
      </c>
      <c r="H850" s="5" t="n">
        <f aca="false">ROUND(ABS(G850)-ABS(E850),2)</f>
        <v>0</v>
      </c>
      <c r="I850" s="3" t="s">
        <v>785</v>
      </c>
      <c r="J850" s="3"/>
      <c r="K850" s="3"/>
      <c r="L850" s="3" t="s">
        <v>786</v>
      </c>
      <c r="M850" s="3" t="s">
        <v>791</v>
      </c>
      <c r="N850" s="3"/>
    </row>
    <row r="851" customFormat="false" ht="34.5" hidden="false" customHeight="true" outlineLevel="0" collapsed="false">
      <c r="A851" s="3" t="s">
        <v>782</v>
      </c>
      <c r="B851" s="3" t="s">
        <v>782</v>
      </c>
      <c r="C851" s="4" t="s">
        <v>15</v>
      </c>
      <c r="D851" s="3" t="s">
        <v>25</v>
      </c>
      <c r="E851" s="5" t="n">
        <v>51.11</v>
      </c>
      <c r="F851" s="3" t="s">
        <v>25</v>
      </c>
      <c r="G851" s="5" t="n">
        <v>51.11</v>
      </c>
      <c r="H851" s="5" t="n">
        <f aca="false">ROUND(ABS(G851)-ABS(E851),2)</f>
        <v>0</v>
      </c>
      <c r="I851" s="3" t="s">
        <v>785</v>
      </c>
      <c r="J851" s="3"/>
      <c r="K851" s="3"/>
      <c r="L851" s="3" t="s">
        <v>792</v>
      </c>
      <c r="M851" s="3" t="s">
        <v>793</v>
      </c>
      <c r="N851" s="3" t="s">
        <v>62</v>
      </c>
    </row>
    <row r="852" customFormat="false" ht="23.25" hidden="false" customHeight="true" outlineLevel="0" collapsed="false">
      <c r="A852" s="3" t="s">
        <v>782</v>
      </c>
      <c r="B852" s="3" t="s">
        <v>782</v>
      </c>
      <c r="C852" s="7" t="s">
        <v>37</v>
      </c>
      <c r="D852" s="3" t="s">
        <v>29</v>
      </c>
      <c r="E852" s="5" t="s">
        <v>37</v>
      </c>
      <c r="F852" s="3" t="s">
        <v>29</v>
      </c>
      <c r="G852" s="5" t="s">
        <v>37</v>
      </c>
      <c r="H852" s="5" t="s">
        <v>37</v>
      </c>
      <c r="I852" s="3" t="s">
        <v>785</v>
      </c>
      <c r="J852" s="3" t="s">
        <v>38</v>
      </c>
      <c r="K852" s="3"/>
      <c r="L852" s="3" t="s">
        <v>39</v>
      </c>
      <c r="M852" s="3"/>
      <c r="N852" s="3" t="s">
        <v>40</v>
      </c>
    </row>
    <row r="853" customFormat="false" ht="34.5" hidden="false" customHeight="true" outlineLevel="0" collapsed="false">
      <c r="A853" s="3" t="s">
        <v>782</v>
      </c>
      <c r="B853" s="3" t="s">
        <v>782</v>
      </c>
      <c r="C853" s="4" t="s">
        <v>15</v>
      </c>
      <c r="D853" s="3" t="s">
        <v>16</v>
      </c>
      <c r="E853" s="5" t="n">
        <v>4000</v>
      </c>
      <c r="F853" s="3" t="s">
        <v>16</v>
      </c>
      <c r="G853" s="5" t="n">
        <v>4000</v>
      </c>
      <c r="H853" s="5" t="n">
        <f aca="false">ROUND(ABS(G853)-ABS(E853),2)</f>
        <v>0</v>
      </c>
      <c r="I853" s="3" t="s">
        <v>794</v>
      </c>
      <c r="J853" s="3"/>
      <c r="K853" s="3"/>
      <c r="L853" s="3" t="s">
        <v>786</v>
      </c>
      <c r="M853" s="3" t="s">
        <v>795</v>
      </c>
      <c r="N853" s="3"/>
    </row>
    <row r="854" customFormat="false" ht="34.5" hidden="false" customHeight="true" outlineLevel="0" collapsed="false">
      <c r="A854" s="3" t="s">
        <v>782</v>
      </c>
      <c r="B854" s="3" t="s">
        <v>782</v>
      </c>
      <c r="C854" s="4" t="s">
        <v>15</v>
      </c>
      <c r="D854" s="3" t="s">
        <v>21</v>
      </c>
      <c r="E854" s="5" t="n">
        <v>815.27</v>
      </c>
      <c r="F854" s="3" t="s">
        <v>21</v>
      </c>
      <c r="G854" s="5" t="n">
        <v>815.27</v>
      </c>
      <c r="H854" s="5" t="n">
        <f aca="false">ROUND(ABS(G854)-ABS(E854),2)</f>
        <v>0</v>
      </c>
      <c r="I854" s="3" t="s">
        <v>794</v>
      </c>
      <c r="J854" s="3"/>
      <c r="K854" s="3"/>
      <c r="L854" s="3" t="s">
        <v>786</v>
      </c>
      <c r="M854" s="3" t="s">
        <v>796</v>
      </c>
      <c r="N854" s="3"/>
    </row>
    <row r="855" customFormat="false" ht="34.5" hidden="false" customHeight="true" outlineLevel="0" collapsed="false">
      <c r="A855" s="3" t="s">
        <v>782</v>
      </c>
      <c r="B855" s="3" t="s">
        <v>782</v>
      </c>
      <c r="C855" s="4" t="s">
        <v>15</v>
      </c>
      <c r="D855" s="3" t="s">
        <v>24</v>
      </c>
      <c r="E855" s="5" t="n">
        <v>2543.53</v>
      </c>
      <c r="F855" s="3" t="s">
        <v>24</v>
      </c>
      <c r="G855" s="5" t="n">
        <v>2543.53</v>
      </c>
      <c r="H855" s="5" t="n">
        <f aca="false">ROUND(ABS(G855)-ABS(E855),2)</f>
        <v>0</v>
      </c>
      <c r="I855" s="3" t="s">
        <v>794</v>
      </c>
      <c r="J855" s="3"/>
      <c r="K855" s="3"/>
      <c r="L855" s="3" t="s">
        <v>786</v>
      </c>
      <c r="M855" s="3" t="s">
        <v>797</v>
      </c>
      <c r="N855" s="3"/>
    </row>
    <row r="856" customFormat="false" ht="34.5" hidden="false" customHeight="true" outlineLevel="0" collapsed="false">
      <c r="A856" s="3" t="s">
        <v>782</v>
      </c>
      <c r="B856" s="3" t="s">
        <v>782</v>
      </c>
      <c r="C856" s="7" t="s">
        <v>37</v>
      </c>
      <c r="D856" s="3" t="s">
        <v>25</v>
      </c>
      <c r="E856" s="5" t="n">
        <v>57.67</v>
      </c>
      <c r="F856" s="3" t="s">
        <v>25</v>
      </c>
      <c r="G856" s="5" t="n">
        <v>303</v>
      </c>
      <c r="H856" s="5" t="n">
        <f aca="false">ROUND(ABS(G856)-ABS(E856),2)</f>
        <v>245.33</v>
      </c>
      <c r="I856" s="3" t="s">
        <v>794</v>
      </c>
      <c r="J856" s="3"/>
      <c r="K856" s="3"/>
      <c r="L856" s="3" t="s">
        <v>792</v>
      </c>
      <c r="M856" s="3" t="s">
        <v>798</v>
      </c>
      <c r="N856" s="3" t="s">
        <v>62</v>
      </c>
    </row>
    <row r="857" customFormat="false" ht="23.25" hidden="false" customHeight="true" outlineLevel="0" collapsed="false">
      <c r="A857" s="3" t="s">
        <v>782</v>
      </c>
      <c r="B857" s="3" t="s">
        <v>782</v>
      </c>
      <c r="C857" s="7" t="s">
        <v>37</v>
      </c>
      <c r="D857" s="3" t="s">
        <v>29</v>
      </c>
      <c r="E857" s="5" t="s">
        <v>37</v>
      </c>
      <c r="F857" s="3" t="s">
        <v>29</v>
      </c>
      <c r="G857" s="5" t="s">
        <v>37</v>
      </c>
      <c r="H857" s="5" t="s">
        <v>37</v>
      </c>
      <c r="I857" s="3" t="s">
        <v>794</v>
      </c>
      <c r="J857" s="3" t="s">
        <v>38</v>
      </c>
      <c r="K857" s="3"/>
      <c r="L857" s="3" t="s">
        <v>39</v>
      </c>
      <c r="M857" s="3"/>
      <c r="N857" s="3" t="s">
        <v>40</v>
      </c>
    </row>
    <row r="858" customFormat="false" ht="34.5" hidden="false" customHeight="true" outlineLevel="0" collapsed="false">
      <c r="A858" s="3" t="s">
        <v>782</v>
      </c>
      <c r="B858" s="3" t="s">
        <v>782</v>
      </c>
      <c r="C858" s="4" t="s">
        <v>15</v>
      </c>
      <c r="D858" s="3" t="s">
        <v>16</v>
      </c>
      <c r="E858" s="5" t="n">
        <v>1100</v>
      </c>
      <c r="F858" s="3" t="s">
        <v>16</v>
      </c>
      <c r="G858" s="5" t="n">
        <v>1100</v>
      </c>
      <c r="H858" s="5" t="n">
        <f aca="false">ROUND(ABS(G858)-ABS(E858),2)</f>
        <v>0</v>
      </c>
      <c r="I858" s="3" t="s">
        <v>799</v>
      </c>
      <c r="J858" s="3"/>
      <c r="K858" s="3"/>
      <c r="L858" s="3" t="s">
        <v>786</v>
      </c>
      <c r="M858" s="3" t="s">
        <v>800</v>
      </c>
      <c r="N858" s="3"/>
    </row>
    <row r="859" customFormat="false" ht="34.5" hidden="false" customHeight="true" outlineLevel="0" collapsed="false">
      <c r="A859" s="3" t="s">
        <v>782</v>
      </c>
      <c r="B859" s="3" t="s">
        <v>782</v>
      </c>
      <c r="C859" s="4" t="s">
        <v>15</v>
      </c>
      <c r="D859" s="3" t="s">
        <v>21</v>
      </c>
      <c r="E859" s="5" t="n">
        <v>190.89</v>
      </c>
      <c r="F859" s="3" t="s">
        <v>21</v>
      </c>
      <c r="G859" s="5" t="n">
        <v>190.89</v>
      </c>
      <c r="H859" s="5" t="n">
        <f aca="false">ROUND(ABS(G859)-ABS(E859),2)</f>
        <v>0</v>
      </c>
      <c r="I859" s="3" t="s">
        <v>799</v>
      </c>
      <c r="J859" s="3"/>
      <c r="K859" s="3"/>
      <c r="L859" s="3" t="s">
        <v>786</v>
      </c>
      <c r="M859" s="3" t="s">
        <v>801</v>
      </c>
      <c r="N859" s="3"/>
    </row>
    <row r="860" customFormat="false" ht="34.5" hidden="false" customHeight="true" outlineLevel="0" collapsed="false">
      <c r="A860" s="3" t="s">
        <v>782</v>
      </c>
      <c r="B860" s="3" t="s">
        <v>782</v>
      </c>
      <c r="C860" s="4" t="s">
        <v>15</v>
      </c>
      <c r="D860" s="3" t="s">
        <v>22</v>
      </c>
      <c r="E860" s="5" t="n">
        <v>120</v>
      </c>
      <c r="F860" s="3" t="s">
        <v>22</v>
      </c>
      <c r="G860" s="5" t="n">
        <v>120</v>
      </c>
      <c r="H860" s="5" t="n">
        <f aca="false">ROUND(ABS(G860)-ABS(E860),2)</f>
        <v>0</v>
      </c>
      <c r="I860" s="3" t="s">
        <v>799</v>
      </c>
      <c r="J860" s="3"/>
      <c r="K860" s="3"/>
      <c r="L860" s="3" t="s">
        <v>789</v>
      </c>
      <c r="M860" s="3" t="s">
        <v>802</v>
      </c>
      <c r="N860" s="3"/>
    </row>
    <row r="861" customFormat="false" ht="34.5" hidden="false" customHeight="true" outlineLevel="0" collapsed="false">
      <c r="A861" s="3" t="s">
        <v>782</v>
      </c>
      <c r="B861" s="3" t="s">
        <v>782</v>
      </c>
      <c r="C861" s="4" t="s">
        <v>15</v>
      </c>
      <c r="D861" s="3" t="s">
        <v>24</v>
      </c>
      <c r="E861" s="5" t="n">
        <v>1178.87</v>
      </c>
      <c r="F861" s="3" t="s">
        <v>24</v>
      </c>
      <c r="G861" s="5" t="n">
        <v>1178.87</v>
      </c>
      <c r="H861" s="5" t="n">
        <f aca="false">ROUND(ABS(G861)-ABS(E861),2)</f>
        <v>0</v>
      </c>
      <c r="I861" s="3" t="s">
        <v>799</v>
      </c>
      <c r="J861" s="3"/>
      <c r="K861" s="3"/>
      <c r="L861" s="3" t="s">
        <v>786</v>
      </c>
      <c r="M861" s="3" t="s">
        <v>803</v>
      </c>
      <c r="N861" s="3"/>
    </row>
    <row r="862" customFormat="false" ht="45.75" hidden="false" customHeight="true" outlineLevel="0" collapsed="false">
      <c r="A862" s="3" t="s">
        <v>782</v>
      </c>
      <c r="B862" s="3" t="s">
        <v>782</v>
      </c>
      <c r="C862" s="7" t="s">
        <v>37</v>
      </c>
      <c r="D862" s="3" t="s">
        <v>25</v>
      </c>
      <c r="E862" s="5" t="n">
        <v>36.9</v>
      </c>
      <c r="F862" s="3" t="s">
        <v>25</v>
      </c>
      <c r="G862" s="5" t="n">
        <v>286.01</v>
      </c>
      <c r="H862" s="5" t="n">
        <f aca="false">ROUND(ABS(G862)-ABS(E862),2)</f>
        <v>249.11</v>
      </c>
      <c r="I862" s="3" t="s">
        <v>799</v>
      </c>
      <c r="J862" s="3"/>
      <c r="K862" s="3"/>
      <c r="L862" s="3" t="s">
        <v>792</v>
      </c>
      <c r="M862" s="3" t="s">
        <v>804</v>
      </c>
      <c r="N862" s="3" t="s">
        <v>62</v>
      </c>
    </row>
    <row r="863" customFormat="false" ht="23.25" hidden="false" customHeight="true" outlineLevel="0" collapsed="false">
      <c r="A863" s="3" t="s">
        <v>782</v>
      </c>
      <c r="B863" s="3" t="s">
        <v>782</v>
      </c>
      <c r="C863" s="7" t="s">
        <v>37</v>
      </c>
      <c r="D863" s="3" t="s">
        <v>29</v>
      </c>
      <c r="E863" s="5" t="s">
        <v>37</v>
      </c>
      <c r="F863" s="3" t="s">
        <v>29</v>
      </c>
      <c r="G863" s="5" t="s">
        <v>37</v>
      </c>
      <c r="H863" s="5" t="s">
        <v>37</v>
      </c>
      <c r="I863" s="3" t="s">
        <v>799</v>
      </c>
      <c r="J863" s="3" t="s">
        <v>38</v>
      </c>
      <c r="K863" s="3"/>
      <c r="L863" s="3" t="s">
        <v>39</v>
      </c>
      <c r="M863" s="3"/>
      <c r="N863" s="3" t="s">
        <v>40</v>
      </c>
    </row>
    <row r="864" customFormat="false" ht="15" hidden="false" customHeight="true" outlineLevel="0" collapsed="false">
      <c r="A864" s="3" t="s">
        <v>782</v>
      </c>
      <c r="B864" s="3" t="s">
        <v>782</v>
      </c>
      <c r="C864" s="7" t="s">
        <v>37</v>
      </c>
      <c r="D864" s="3" t="s">
        <v>25</v>
      </c>
      <c r="E864" s="5" t="n">
        <v>365.33</v>
      </c>
      <c r="F864" s="3" t="s">
        <v>25</v>
      </c>
      <c r="G864" s="5" t="s">
        <v>37</v>
      </c>
      <c r="H864" s="5" t="s">
        <v>37</v>
      </c>
      <c r="I864" s="3" t="s">
        <v>70</v>
      </c>
      <c r="J864" s="3" t="s">
        <v>71</v>
      </c>
      <c r="K864" s="3"/>
      <c r="L864" s="3" t="s">
        <v>72</v>
      </c>
      <c r="M864" s="3"/>
      <c r="N864" s="3" t="s">
        <v>73</v>
      </c>
    </row>
    <row r="865" customFormat="false" ht="75.75" hidden="false" customHeight="true" outlineLevel="0" collapsed="false">
      <c r="A865" s="8" t="s">
        <v>782</v>
      </c>
      <c r="B865" s="8" t="s">
        <v>782</v>
      </c>
      <c r="C865" s="8" t="s">
        <v>28</v>
      </c>
      <c r="D865" s="8" t="s">
        <v>47</v>
      </c>
      <c r="E865" s="8" t="s">
        <v>805</v>
      </c>
      <c r="F865" s="8" t="s">
        <v>47</v>
      </c>
      <c r="G865" s="8" t="s">
        <v>214</v>
      </c>
      <c r="H865" s="8"/>
      <c r="I865" s="8" t="s">
        <v>49</v>
      </c>
      <c r="J865" s="8" t="s">
        <v>214</v>
      </c>
      <c r="K865" s="8"/>
      <c r="L865" s="8" t="s">
        <v>783</v>
      </c>
      <c r="M865" s="8" t="s">
        <v>784</v>
      </c>
      <c r="N865" s="8" t="s">
        <v>806</v>
      </c>
    </row>
    <row r="866" customFormat="false" ht="23.25" hidden="false" customHeight="true" outlineLevel="0" collapsed="false">
      <c r="A866" s="3" t="s">
        <v>807</v>
      </c>
      <c r="B866" s="3" t="s">
        <v>807</v>
      </c>
      <c r="C866" s="4" t="s">
        <v>15</v>
      </c>
      <c r="D866" s="3" t="s">
        <v>16</v>
      </c>
      <c r="E866" s="5" t="n">
        <v>9900</v>
      </c>
      <c r="F866" s="3" t="s">
        <v>16</v>
      </c>
      <c r="G866" s="5" t="n">
        <v>9900</v>
      </c>
      <c r="H866" s="5" t="n">
        <f aca="false">ROUND(ABS(G866)-ABS(E866),2)</f>
        <v>0</v>
      </c>
      <c r="I866" s="3" t="s">
        <v>17</v>
      </c>
      <c r="J866" s="3" t="s">
        <v>214</v>
      </c>
      <c r="K866" s="3"/>
      <c r="L866" s="3" t="s">
        <v>808</v>
      </c>
      <c r="M866" s="3" t="s">
        <v>809</v>
      </c>
      <c r="N866" s="3"/>
    </row>
    <row r="867" customFormat="false" ht="23.25" hidden="false" customHeight="true" outlineLevel="0" collapsed="false">
      <c r="A867" s="3" t="s">
        <v>807</v>
      </c>
      <c r="B867" s="3" t="s">
        <v>807</v>
      </c>
      <c r="C867" s="4" t="s">
        <v>15</v>
      </c>
      <c r="D867" s="3" t="s">
        <v>21</v>
      </c>
      <c r="E867" s="5" t="n">
        <v>1710.77</v>
      </c>
      <c r="F867" s="3" t="s">
        <v>21</v>
      </c>
      <c r="G867" s="5" t="n">
        <v>1710.77</v>
      </c>
      <c r="H867" s="5" t="n">
        <f aca="false">ROUND(ABS(G867)-ABS(E867),2)</f>
        <v>0</v>
      </c>
      <c r="I867" s="3" t="s">
        <v>17</v>
      </c>
      <c r="J867" s="3" t="s">
        <v>214</v>
      </c>
      <c r="K867" s="3"/>
      <c r="L867" s="3" t="s">
        <v>808</v>
      </c>
      <c r="M867" s="3" t="s">
        <v>809</v>
      </c>
      <c r="N867" s="3"/>
    </row>
    <row r="868" customFormat="false" ht="23.25" hidden="false" customHeight="true" outlineLevel="0" collapsed="false">
      <c r="A868" s="3" t="s">
        <v>807</v>
      </c>
      <c r="B868" s="3" t="s">
        <v>807</v>
      </c>
      <c r="C868" s="4" t="s">
        <v>15</v>
      </c>
      <c r="D868" s="3" t="s">
        <v>22</v>
      </c>
      <c r="E868" s="5" t="n">
        <v>50</v>
      </c>
      <c r="F868" s="3" t="s">
        <v>22</v>
      </c>
      <c r="G868" s="5" t="n">
        <v>50</v>
      </c>
      <c r="H868" s="5" t="n">
        <f aca="false">ROUND(ABS(G868)-ABS(E868),2)</f>
        <v>0</v>
      </c>
      <c r="I868" s="3" t="s">
        <v>17</v>
      </c>
      <c r="J868" s="3" t="s">
        <v>214</v>
      </c>
      <c r="K868" s="3"/>
      <c r="L868" s="3" t="s">
        <v>808</v>
      </c>
      <c r="M868" s="3" t="s">
        <v>809</v>
      </c>
      <c r="N868" s="3" t="s">
        <v>23</v>
      </c>
    </row>
    <row r="869" customFormat="false" ht="23.25" hidden="false" customHeight="true" outlineLevel="0" collapsed="false">
      <c r="A869" s="3" t="s">
        <v>807</v>
      </c>
      <c r="B869" s="3" t="s">
        <v>807</v>
      </c>
      <c r="C869" s="4" t="s">
        <v>15</v>
      </c>
      <c r="D869" s="3" t="s">
        <v>24</v>
      </c>
      <c r="E869" s="5" t="n">
        <v>5182.84</v>
      </c>
      <c r="F869" s="3" t="s">
        <v>24</v>
      </c>
      <c r="G869" s="5" t="n">
        <v>5182.84</v>
      </c>
      <c r="H869" s="5" t="n">
        <f aca="false">ROUND(ABS(G869)-ABS(E869),2)</f>
        <v>0</v>
      </c>
      <c r="I869" s="3" t="s">
        <v>17</v>
      </c>
      <c r="J869" s="3" t="s">
        <v>214</v>
      </c>
      <c r="K869" s="3"/>
      <c r="L869" s="3" t="s">
        <v>808</v>
      </c>
      <c r="M869" s="3" t="s">
        <v>809</v>
      </c>
      <c r="N869" s="3"/>
    </row>
    <row r="870" customFormat="false" ht="23.25" hidden="false" customHeight="true" outlineLevel="0" collapsed="false">
      <c r="A870" s="3" t="s">
        <v>807</v>
      </c>
      <c r="B870" s="3" t="s">
        <v>807</v>
      </c>
      <c r="C870" s="6" t="s">
        <v>28</v>
      </c>
      <c r="D870" s="3" t="s">
        <v>25</v>
      </c>
      <c r="E870" s="5" t="n">
        <v>611.61</v>
      </c>
      <c r="F870" s="3" t="s">
        <v>25</v>
      </c>
      <c r="G870" s="5" t="n">
        <v>744.18</v>
      </c>
      <c r="H870" s="5" t="n">
        <f aca="false">ROUND(ABS(G870)-ABS(E870),2)</f>
        <v>132.57</v>
      </c>
      <c r="I870" s="3" t="s">
        <v>17</v>
      </c>
      <c r="J870" s="3" t="s">
        <v>214</v>
      </c>
      <c r="K870" s="3"/>
      <c r="L870" s="3" t="s">
        <v>808</v>
      </c>
      <c r="M870" s="3" t="s">
        <v>809</v>
      </c>
      <c r="N870" s="3"/>
    </row>
    <row r="871" customFormat="false" ht="23.25" hidden="false" customHeight="true" outlineLevel="0" collapsed="false">
      <c r="A871" s="3" t="s">
        <v>807</v>
      </c>
      <c r="B871" s="3" t="s">
        <v>807</v>
      </c>
      <c r="C871" s="4" t="s">
        <v>15</v>
      </c>
      <c r="D871" s="3" t="s">
        <v>26</v>
      </c>
      <c r="E871" s="5" t="n">
        <v>0</v>
      </c>
      <c r="F871" s="3" t="s">
        <v>26</v>
      </c>
      <c r="G871" s="5" t="n">
        <v>0</v>
      </c>
      <c r="H871" s="5" t="n">
        <f aca="false">ROUND(ABS(G871)-ABS(E871),2)</f>
        <v>0</v>
      </c>
      <c r="I871" s="3" t="s">
        <v>17</v>
      </c>
      <c r="J871" s="3" t="s">
        <v>214</v>
      </c>
      <c r="K871" s="3"/>
      <c r="L871" s="3" t="s">
        <v>808</v>
      </c>
      <c r="M871" s="3" t="s">
        <v>809</v>
      </c>
      <c r="N871" s="3" t="s">
        <v>27</v>
      </c>
    </row>
    <row r="872" customFormat="false" ht="23.25" hidden="false" customHeight="true" outlineLevel="0" collapsed="false">
      <c r="A872" s="3" t="s">
        <v>807</v>
      </c>
      <c r="B872" s="3" t="s">
        <v>807</v>
      </c>
      <c r="C872" s="6" t="s">
        <v>28</v>
      </c>
      <c r="D872" s="3" t="s">
        <v>29</v>
      </c>
      <c r="E872" s="5" t="n">
        <v>2130.28</v>
      </c>
      <c r="F872" s="3" t="s">
        <v>29</v>
      </c>
      <c r="G872" s="5" t="n">
        <v>-3200.95</v>
      </c>
      <c r="H872" s="5" t="n">
        <f aca="false">ROUND(ABS(G872)-ABS(E872),2)</f>
        <v>1070.67</v>
      </c>
      <c r="I872" s="3" t="s">
        <v>17</v>
      </c>
      <c r="J872" s="3" t="s">
        <v>214</v>
      </c>
      <c r="K872" s="3"/>
      <c r="L872" s="3" t="s">
        <v>808</v>
      </c>
      <c r="M872" s="3" t="s">
        <v>809</v>
      </c>
      <c r="N872" s="3" t="s">
        <v>30</v>
      </c>
    </row>
    <row r="873" customFormat="false" ht="34.5" hidden="false" customHeight="true" outlineLevel="0" collapsed="false">
      <c r="A873" s="3" t="s">
        <v>807</v>
      </c>
      <c r="B873" s="3" t="s">
        <v>807</v>
      </c>
      <c r="C873" s="4" t="s">
        <v>15</v>
      </c>
      <c r="D873" s="3" t="s">
        <v>16</v>
      </c>
      <c r="E873" s="5" t="n">
        <v>5500</v>
      </c>
      <c r="F873" s="3" t="s">
        <v>16</v>
      </c>
      <c r="G873" s="5" t="n">
        <v>5500</v>
      </c>
      <c r="H873" s="5" t="n">
        <f aca="false">ROUND(ABS(G873)-ABS(E873),2)</f>
        <v>0</v>
      </c>
      <c r="I873" s="3" t="s">
        <v>810</v>
      </c>
      <c r="J873" s="3"/>
      <c r="K873" s="3"/>
      <c r="L873" s="3" t="s">
        <v>811</v>
      </c>
      <c r="M873" s="3" t="s">
        <v>812</v>
      </c>
      <c r="N873" s="3"/>
    </row>
    <row r="874" customFormat="false" ht="34.5" hidden="false" customHeight="true" outlineLevel="0" collapsed="false">
      <c r="A874" s="3" t="s">
        <v>807</v>
      </c>
      <c r="B874" s="3" t="s">
        <v>807</v>
      </c>
      <c r="C874" s="4" t="s">
        <v>15</v>
      </c>
      <c r="D874" s="3" t="s">
        <v>21</v>
      </c>
      <c r="E874" s="5" t="n">
        <v>832.86</v>
      </c>
      <c r="F874" s="3" t="s">
        <v>21</v>
      </c>
      <c r="G874" s="5" t="n">
        <v>832.86</v>
      </c>
      <c r="H874" s="5" t="n">
        <f aca="false">ROUND(ABS(G874)-ABS(E874),2)</f>
        <v>0</v>
      </c>
      <c r="I874" s="3" t="s">
        <v>810</v>
      </c>
      <c r="J874" s="3"/>
      <c r="K874" s="3"/>
      <c r="L874" s="3" t="s">
        <v>811</v>
      </c>
      <c r="M874" s="3" t="s">
        <v>813</v>
      </c>
      <c r="N874" s="3"/>
    </row>
    <row r="875" customFormat="false" ht="34.5" hidden="false" customHeight="true" outlineLevel="0" collapsed="false">
      <c r="A875" s="3" t="s">
        <v>807</v>
      </c>
      <c r="B875" s="3" t="s">
        <v>807</v>
      </c>
      <c r="C875" s="4" t="s">
        <v>15</v>
      </c>
      <c r="D875" s="3" t="s">
        <v>24</v>
      </c>
      <c r="E875" s="5" t="n">
        <v>2270.54</v>
      </c>
      <c r="F875" s="3" t="s">
        <v>24</v>
      </c>
      <c r="G875" s="5" t="n">
        <v>2270.54</v>
      </c>
      <c r="H875" s="5" t="n">
        <f aca="false">ROUND(ABS(G875)-ABS(E875),2)</f>
        <v>0</v>
      </c>
      <c r="I875" s="3" t="s">
        <v>810</v>
      </c>
      <c r="J875" s="3"/>
      <c r="K875" s="3"/>
      <c r="L875" s="3" t="s">
        <v>811</v>
      </c>
      <c r="M875" s="3" t="s">
        <v>814</v>
      </c>
      <c r="N875" s="3"/>
    </row>
    <row r="876" customFormat="false" ht="45.75" hidden="false" customHeight="true" outlineLevel="0" collapsed="false">
      <c r="A876" s="3" t="s">
        <v>807</v>
      </c>
      <c r="B876" s="3" t="s">
        <v>807</v>
      </c>
      <c r="C876" s="7" t="s">
        <v>37</v>
      </c>
      <c r="D876" s="3" t="s">
        <v>25</v>
      </c>
      <c r="E876" s="5" t="n">
        <v>92.56</v>
      </c>
      <c r="F876" s="3" t="s">
        <v>25</v>
      </c>
      <c r="G876" s="5" t="n">
        <v>397.82</v>
      </c>
      <c r="H876" s="5" t="n">
        <f aca="false">ROUND(ABS(G876)-ABS(E876),2)</f>
        <v>305.26</v>
      </c>
      <c r="I876" s="3" t="s">
        <v>810</v>
      </c>
      <c r="J876" s="3"/>
      <c r="K876" s="3"/>
      <c r="L876" s="3" t="s">
        <v>815</v>
      </c>
      <c r="M876" s="3" t="s">
        <v>816</v>
      </c>
      <c r="N876" s="3" t="s">
        <v>62</v>
      </c>
    </row>
    <row r="877" customFormat="false" ht="23.25" hidden="false" customHeight="true" outlineLevel="0" collapsed="false">
      <c r="A877" s="3" t="s">
        <v>807</v>
      </c>
      <c r="B877" s="3" t="s">
        <v>807</v>
      </c>
      <c r="C877" s="7" t="s">
        <v>37</v>
      </c>
      <c r="D877" s="3" t="s">
        <v>29</v>
      </c>
      <c r="E877" s="5" t="s">
        <v>37</v>
      </c>
      <c r="F877" s="3" t="s">
        <v>29</v>
      </c>
      <c r="G877" s="5" t="s">
        <v>37</v>
      </c>
      <c r="H877" s="5" t="s">
        <v>37</v>
      </c>
      <c r="I877" s="3" t="s">
        <v>810</v>
      </c>
      <c r="J877" s="3" t="s">
        <v>38</v>
      </c>
      <c r="K877" s="3"/>
      <c r="L877" s="3" t="s">
        <v>39</v>
      </c>
      <c r="M877" s="3"/>
      <c r="N877" s="3" t="s">
        <v>40</v>
      </c>
    </row>
    <row r="878" customFormat="false" ht="34.5" hidden="false" customHeight="true" outlineLevel="0" collapsed="false">
      <c r="A878" s="3" t="s">
        <v>807</v>
      </c>
      <c r="B878" s="3" t="s">
        <v>807</v>
      </c>
      <c r="C878" s="4" t="s">
        <v>15</v>
      </c>
      <c r="D878" s="3" t="s">
        <v>16</v>
      </c>
      <c r="E878" s="5" t="n">
        <v>4400</v>
      </c>
      <c r="F878" s="3" t="s">
        <v>16</v>
      </c>
      <c r="G878" s="5" t="n">
        <v>4400</v>
      </c>
      <c r="H878" s="5" t="n">
        <f aca="false">ROUND(ABS(G878)-ABS(E878),2)</f>
        <v>0</v>
      </c>
      <c r="I878" s="3" t="s">
        <v>817</v>
      </c>
      <c r="J878" s="3"/>
      <c r="K878" s="3"/>
      <c r="L878" s="3" t="s">
        <v>811</v>
      </c>
      <c r="M878" s="3" t="s">
        <v>818</v>
      </c>
      <c r="N878" s="3"/>
    </row>
    <row r="879" customFormat="false" ht="34.5" hidden="false" customHeight="true" outlineLevel="0" collapsed="false">
      <c r="A879" s="3" t="s">
        <v>807</v>
      </c>
      <c r="B879" s="3" t="s">
        <v>807</v>
      </c>
      <c r="C879" s="4" t="s">
        <v>15</v>
      </c>
      <c r="D879" s="3" t="s">
        <v>21</v>
      </c>
      <c r="E879" s="5" t="n">
        <v>877.91</v>
      </c>
      <c r="F879" s="3" t="s">
        <v>21</v>
      </c>
      <c r="G879" s="5" t="n">
        <v>877.91</v>
      </c>
      <c r="H879" s="5" t="n">
        <f aca="false">ROUND(ABS(G879)-ABS(E879),2)</f>
        <v>0</v>
      </c>
      <c r="I879" s="3" t="s">
        <v>817</v>
      </c>
      <c r="J879" s="3"/>
      <c r="K879" s="3"/>
      <c r="L879" s="3" t="s">
        <v>811</v>
      </c>
      <c r="M879" s="3" t="s">
        <v>819</v>
      </c>
      <c r="N879" s="3"/>
    </row>
    <row r="880" customFormat="false" ht="34.5" hidden="false" customHeight="true" outlineLevel="0" collapsed="false">
      <c r="A880" s="3" t="s">
        <v>807</v>
      </c>
      <c r="B880" s="3" t="s">
        <v>807</v>
      </c>
      <c r="C880" s="4" t="s">
        <v>15</v>
      </c>
      <c r="D880" s="3" t="s">
        <v>22</v>
      </c>
      <c r="E880" s="5" t="n">
        <v>50</v>
      </c>
      <c r="F880" s="3" t="s">
        <v>22</v>
      </c>
      <c r="G880" s="5" t="n">
        <v>50</v>
      </c>
      <c r="H880" s="5" t="n">
        <f aca="false">ROUND(ABS(G880)-ABS(E880),2)</f>
        <v>0</v>
      </c>
      <c r="I880" s="3" t="s">
        <v>817</v>
      </c>
      <c r="J880" s="3"/>
      <c r="K880" s="3"/>
      <c r="L880" s="3" t="s">
        <v>820</v>
      </c>
      <c r="M880" s="3" t="s">
        <v>821</v>
      </c>
      <c r="N880" s="3"/>
    </row>
    <row r="881" customFormat="false" ht="34.5" hidden="false" customHeight="true" outlineLevel="0" collapsed="false">
      <c r="A881" s="3" t="s">
        <v>807</v>
      </c>
      <c r="B881" s="3" t="s">
        <v>807</v>
      </c>
      <c r="C881" s="4" t="s">
        <v>15</v>
      </c>
      <c r="D881" s="3" t="s">
        <v>24</v>
      </c>
      <c r="E881" s="5" t="n">
        <v>2912.3</v>
      </c>
      <c r="F881" s="3" t="s">
        <v>24</v>
      </c>
      <c r="G881" s="5" t="n">
        <v>2912.3</v>
      </c>
      <c r="H881" s="5" t="n">
        <f aca="false">ROUND(ABS(G881)-ABS(E881),2)</f>
        <v>0</v>
      </c>
      <c r="I881" s="3" t="s">
        <v>817</v>
      </c>
      <c r="J881" s="3"/>
      <c r="K881" s="3"/>
      <c r="L881" s="3" t="s">
        <v>811</v>
      </c>
      <c r="M881" s="3" t="s">
        <v>822</v>
      </c>
      <c r="N881" s="3"/>
    </row>
    <row r="882" customFormat="false" ht="68.25" hidden="false" customHeight="true" outlineLevel="0" collapsed="false">
      <c r="A882" s="3" t="s">
        <v>807</v>
      </c>
      <c r="B882" s="3" t="s">
        <v>807</v>
      </c>
      <c r="C882" s="7" t="s">
        <v>37</v>
      </c>
      <c r="D882" s="3" t="s">
        <v>25</v>
      </c>
      <c r="E882" s="5" t="n">
        <v>97.75</v>
      </c>
      <c r="F882" s="3" t="s">
        <v>25</v>
      </c>
      <c r="G882" s="5" t="n">
        <v>346.36</v>
      </c>
      <c r="H882" s="5" t="n">
        <f aca="false">ROUND(ABS(G882)-ABS(E882),2)</f>
        <v>248.61</v>
      </c>
      <c r="I882" s="3" t="s">
        <v>817</v>
      </c>
      <c r="J882" s="3"/>
      <c r="K882" s="3"/>
      <c r="L882" s="3" t="s">
        <v>815</v>
      </c>
      <c r="M882" s="3" t="s">
        <v>823</v>
      </c>
      <c r="N882" s="3" t="s">
        <v>62</v>
      </c>
    </row>
    <row r="883" customFormat="false" ht="23.25" hidden="false" customHeight="true" outlineLevel="0" collapsed="false">
      <c r="A883" s="3" t="s">
        <v>807</v>
      </c>
      <c r="B883" s="3" t="s">
        <v>807</v>
      </c>
      <c r="C883" s="7" t="s">
        <v>37</v>
      </c>
      <c r="D883" s="3" t="s">
        <v>29</v>
      </c>
      <c r="E883" s="5" t="s">
        <v>37</v>
      </c>
      <c r="F883" s="3" t="s">
        <v>29</v>
      </c>
      <c r="G883" s="5" t="s">
        <v>37</v>
      </c>
      <c r="H883" s="5" t="s">
        <v>37</v>
      </c>
      <c r="I883" s="3" t="s">
        <v>817</v>
      </c>
      <c r="J883" s="3" t="s">
        <v>38</v>
      </c>
      <c r="K883" s="3"/>
      <c r="L883" s="3" t="s">
        <v>39</v>
      </c>
      <c r="M883" s="3"/>
      <c r="N883" s="3" t="s">
        <v>40</v>
      </c>
    </row>
    <row r="884" customFormat="false" ht="15" hidden="false" customHeight="true" outlineLevel="0" collapsed="false">
      <c r="A884" s="3" t="s">
        <v>807</v>
      </c>
      <c r="B884" s="3" t="s">
        <v>807</v>
      </c>
      <c r="C884" s="7" t="s">
        <v>37</v>
      </c>
      <c r="D884" s="3" t="s">
        <v>25</v>
      </c>
      <c r="E884" s="5" t="n">
        <v>421.3</v>
      </c>
      <c r="F884" s="3" t="s">
        <v>25</v>
      </c>
      <c r="G884" s="5" t="s">
        <v>37</v>
      </c>
      <c r="H884" s="5" t="s">
        <v>37</v>
      </c>
      <c r="I884" s="3" t="s">
        <v>70</v>
      </c>
      <c r="J884" s="3" t="s">
        <v>71</v>
      </c>
      <c r="K884" s="3"/>
      <c r="L884" s="3" t="s">
        <v>72</v>
      </c>
      <c r="M884" s="3"/>
      <c r="N884" s="3" t="s">
        <v>73</v>
      </c>
    </row>
    <row r="885" customFormat="false" ht="75.75" hidden="false" customHeight="true" outlineLevel="0" collapsed="false">
      <c r="A885" s="8" t="s">
        <v>807</v>
      </c>
      <c r="B885" s="8" t="s">
        <v>807</v>
      </c>
      <c r="C885" s="8" t="s">
        <v>28</v>
      </c>
      <c r="D885" s="8" t="s">
        <v>47</v>
      </c>
      <c r="E885" s="8" t="s">
        <v>824</v>
      </c>
      <c r="F885" s="8" t="s">
        <v>47</v>
      </c>
      <c r="G885" s="8" t="s">
        <v>214</v>
      </c>
      <c r="H885" s="8"/>
      <c r="I885" s="8" t="s">
        <v>49</v>
      </c>
      <c r="J885" s="8" t="s">
        <v>214</v>
      </c>
      <c r="K885" s="8"/>
      <c r="L885" s="8" t="s">
        <v>808</v>
      </c>
      <c r="M885" s="8" t="s">
        <v>809</v>
      </c>
      <c r="N885" s="8" t="s">
        <v>825</v>
      </c>
    </row>
    <row r="886" customFormat="false" ht="23.25" hidden="false" customHeight="true" outlineLevel="0" collapsed="false">
      <c r="A886" s="3" t="s">
        <v>826</v>
      </c>
      <c r="B886" s="3" t="s">
        <v>826</v>
      </c>
      <c r="C886" s="4" t="s">
        <v>15</v>
      </c>
      <c r="D886" s="3" t="s">
        <v>16</v>
      </c>
      <c r="E886" s="5" t="n">
        <v>9300</v>
      </c>
      <c r="F886" s="3" t="s">
        <v>16</v>
      </c>
      <c r="G886" s="5" t="n">
        <v>9300</v>
      </c>
      <c r="H886" s="5" t="n">
        <f aca="false">ROUND(ABS(G886)-ABS(E886),2)</f>
        <v>0</v>
      </c>
      <c r="I886" s="3" t="s">
        <v>17</v>
      </c>
      <c r="J886" s="3" t="s">
        <v>214</v>
      </c>
      <c r="K886" s="3"/>
      <c r="L886" s="3" t="s">
        <v>827</v>
      </c>
      <c r="M886" s="3" t="s">
        <v>828</v>
      </c>
      <c r="N886" s="3"/>
    </row>
    <row r="887" customFormat="false" ht="23.25" hidden="false" customHeight="true" outlineLevel="0" collapsed="false">
      <c r="A887" s="3" t="s">
        <v>826</v>
      </c>
      <c r="B887" s="3" t="s">
        <v>826</v>
      </c>
      <c r="C887" s="4" t="s">
        <v>15</v>
      </c>
      <c r="D887" s="3" t="s">
        <v>21</v>
      </c>
      <c r="E887" s="5" t="n">
        <v>1899.35</v>
      </c>
      <c r="F887" s="3" t="s">
        <v>21</v>
      </c>
      <c r="G887" s="5" t="n">
        <v>1899.35</v>
      </c>
      <c r="H887" s="5" t="n">
        <f aca="false">ROUND(ABS(G887)-ABS(E887),2)</f>
        <v>0</v>
      </c>
      <c r="I887" s="3" t="s">
        <v>17</v>
      </c>
      <c r="J887" s="3" t="s">
        <v>214</v>
      </c>
      <c r="K887" s="3"/>
      <c r="L887" s="3" t="s">
        <v>827</v>
      </c>
      <c r="M887" s="3" t="s">
        <v>828</v>
      </c>
      <c r="N887" s="3"/>
    </row>
    <row r="888" customFormat="false" ht="23.25" hidden="false" customHeight="true" outlineLevel="0" collapsed="false">
      <c r="A888" s="3" t="s">
        <v>826</v>
      </c>
      <c r="B888" s="3" t="s">
        <v>826</v>
      </c>
      <c r="C888" s="4" t="s">
        <v>15</v>
      </c>
      <c r="D888" s="3" t="s">
        <v>22</v>
      </c>
      <c r="E888" s="5" t="n">
        <v>125</v>
      </c>
      <c r="F888" s="3" t="s">
        <v>22</v>
      </c>
      <c r="G888" s="5" t="n">
        <v>125</v>
      </c>
      <c r="H888" s="5" t="n">
        <f aca="false">ROUND(ABS(G888)-ABS(E888),2)</f>
        <v>0</v>
      </c>
      <c r="I888" s="3" t="s">
        <v>17</v>
      </c>
      <c r="J888" s="3" t="s">
        <v>214</v>
      </c>
      <c r="K888" s="3"/>
      <c r="L888" s="3" t="s">
        <v>827</v>
      </c>
      <c r="M888" s="3" t="s">
        <v>828</v>
      </c>
      <c r="N888" s="3" t="s">
        <v>23</v>
      </c>
    </row>
    <row r="889" customFormat="false" ht="23.25" hidden="false" customHeight="true" outlineLevel="0" collapsed="false">
      <c r="A889" s="3" t="s">
        <v>826</v>
      </c>
      <c r="B889" s="3" t="s">
        <v>826</v>
      </c>
      <c r="C889" s="4" t="s">
        <v>15</v>
      </c>
      <c r="D889" s="3" t="s">
        <v>24</v>
      </c>
      <c r="E889" s="5" t="n">
        <v>5139.85</v>
      </c>
      <c r="F889" s="3" t="s">
        <v>24</v>
      </c>
      <c r="G889" s="5" t="n">
        <v>5139.85</v>
      </c>
      <c r="H889" s="5" t="n">
        <f aca="false">ROUND(ABS(G889)-ABS(E889),2)</f>
        <v>0</v>
      </c>
      <c r="I889" s="3" t="s">
        <v>17</v>
      </c>
      <c r="J889" s="3" t="s">
        <v>214</v>
      </c>
      <c r="K889" s="3"/>
      <c r="L889" s="3" t="s">
        <v>827</v>
      </c>
      <c r="M889" s="3" t="s">
        <v>828</v>
      </c>
      <c r="N889" s="3"/>
    </row>
    <row r="890" customFormat="false" ht="23.25" hidden="false" customHeight="true" outlineLevel="0" collapsed="false">
      <c r="A890" s="3" t="s">
        <v>826</v>
      </c>
      <c r="B890" s="3" t="s">
        <v>826</v>
      </c>
      <c r="C890" s="6" t="s">
        <v>28</v>
      </c>
      <c r="D890" s="3" t="s">
        <v>25</v>
      </c>
      <c r="E890" s="5" t="n">
        <v>215.67</v>
      </c>
      <c r="F890" s="3" t="s">
        <v>25</v>
      </c>
      <c r="G890" s="5" t="n">
        <v>336.66</v>
      </c>
      <c r="H890" s="5" t="n">
        <f aca="false">ROUND(ABS(G890)-ABS(E890),2)</f>
        <v>120.99</v>
      </c>
      <c r="I890" s="3" t="s">
        <v>17</v>
      </c>
      <c r="J890" s="3" t="s">
        <v>214</v>
      </c>
      <c r="K890" s="3"/>
      <c r="L890" s="3" t="s">
        <v>827</v>
      </c>
      <c r="M890" s="3" t="s">
        <v>828</v>
      </c>
      <c r="N890" s="3"/>
    </row>
    <row r="891" customFormat="false" ht="23.25" hidden="false" customHeight="true" outlineLevel="0" collapsed="false">
      <c r="A891" s="3" t="s">
        <v>826</v>
      </c>
      <c r="B891" s="3" t="s">
        <v>826</v>
      </c>
      <c r="C891" s="4" t="s">
        <v>15</v>
      </c>
      <c r="D891" s="3" t="s">
        <v>26</v>
      </c>
      <c r="E891" s="5" t="n">
        <v>0</v>
      </c>
      <c r="F891" s="3" t="s">
        <v>26</v>
      </c>
      <c r="G891" s="5" t="n">
        <v>0</v>
      </c>
      <c r="H891" s="5" t="n">
        <f aca="false">ROUND(ABS(G891)-ABS(E891),2)</f>
        <v>0</v>
      </c>
      <c r="I891" s="3" t="s">
        <v>17</v>
      </c>
      <c r="J891" s="3" t="s">
        <v>214</v>
      </c>
      <c r="K891" s="3"/>
      <c r="L891" s="3" t="s">
        <v>827</v>
      </c>
      <c r="M891" s="3" t="s">
        <v>828</v>
      </c>
      <c r="N891" s="3" t="s">
        <v>27</v>
      </c>
    </row>
    <row r="892" customFormat="false" ht="23.25" hidden="false" customHeight="true" outlineLevel="0" collapsed="false">
      <c r="A892" s="3" t="s">
        <v>826</v>
      </c>
      <c r="B892" s="3" t="s">
        <v>826</v>
      </c>
      <c r="C892" s="6" t="s">
        <v>28</v>
      </c>
      <c r="D892" s="3" t="s">
        <v>29</v>
      </c>
      <c r="E892" s="5" t="n">
        <v>1780.63</v>
      </c>
      <c r="F892" s="3" t="s">
        <v>29</v>
      </c>
      <c r="G892" s="5" t="n">
        <v>-3556.38</v>
      </c>
      <c r="H892" s="5" t="n">
        <f aca="false">ROUND(ABS(G892)-ABS(E892),2)</f>
        <v>1775.75</v>
      </c>
      <c r="I892" s="3" t="s">
        <v>17</v>
      </c>
      <c r="J892" s="3" t="s">
        <v>214</v>
      </c>
      <c r="K892" s="3"/>
      <c r="L892" s="3" t="s">
        <v>827</v>
      </c>
      <c r="M892" s="3" t="s">
        <v>828</v>
      </c>
      <c r="N892" s="3" t="s">
        <v>30</v>
      </c>
    </row>
    <row r="893" customFormat="false" ht="34.5" hidden="false" customHeight="true" outlineLevel="0" collapsed="false">
      <c r="A893" s="3" t="s">
        <v>826</v>
      </c>
      <c r="B893" s="3" t="s">
        <v>826</v>
      </c>
      <c r="C893" s="4" t="s">
        <v>15</v>
      </c>
      <c r="D893" s="3" t="s">
        <v>16</v>
      </c>
      <c r="E893" s="5" t="n">
        <v>4900</v>
      </c>
      <c r="F893" s="3" t="s">
        <v>16</v>
      </c>
      <c r="G893" s="5" t="n">
        <v>4900</v>
      </c>
      <c r="H893" s="5" t="n">
        <f aca="false">ROUND(ABS(G893)-ABS(E893),2)</f>
        <v>0</v>
      </c>
      <c r="I893" s="3" t="s">
        <v>829</v>
      </c>
      <c r="J893" s="3"/>
      <c r="K893" s="3"/>
      <c r="L893" s="3" t="s">
        <v>830</v>
      </c>
      <c r="M893" s="3" t="s">
        <v>831</v>
      </c>
      <c r="N893" s="3"/>
    </row>
    <row r="894" customFormat="false" ht="34.5" hidden="false" customHeight="true" outlineLevel="0" collapsed="false">
      <c r="A894" s="3" t="s">
        <v>826</v>
      </c>
      <c r="B894" s="3" t="s">
        <v>826</v>
      </c>
      <c r="C894" s="4" t="s">
        <v>15</v>
      </c>
      <c r="D894" s="3" t="s">
        <v>21</v>
      </c>
      <c r="E894" s="5" t="n">
        <v>945.1</v>
      </c>
      <c r="F894" s="3" t="s">
        <v>21</v>
      </c>
      <c r="G894" s="5" t="n">
        <v>945.1</v>
      </c>
      <c r="H894" s="5" t="n">
        <f aca="false">ROUND(ABS(G894)-ABS(E894),2)</f>
        <v>0</v>
      </c>
      <c r="I894" s="3" t="s">
        <v>829</v>
      </c>
      <c r="J894" s="3"/>
      <c r="K894" s="3"/>
      <c r="L894" s="3" t="s">
        <v>830</v>
      </c>
      <c r="M894" s="3" t="s">
        <v>832</v>
      </c>
      <c r="N894" s="3"/>
    </row>
    <row r="895" customFormat="false" ht="34.5" hidden="false" customHeight="true" outlineLevel="0" collapsed="false">
      <c r="A895" s="3" t="s">
        <v>826</v>
      </c>
      <c r="B895" s="3" t="s">
        <v>826</v>
      </c>
      <c r="C895" s="4" t="s">
        <v>15</v>
      </c>
      <c r="D895" s="3" t="s">
        <v>22</v>
      </c>
      <c r="E895" s="5" t="n">
        <v>50</v>
      </c>
      <c r="F895" s="3" t="s">
        <v>22</v>
      </c>
      <c r="G895" s="5" t="n">
        <v>50</v>
      </c>
      <c r="H895" s="5" t="n">
        <f aca="false">ROUND(ABS(G895)-ABS(E895),2)</f>
        <v>0</v>
      </c>
      <c r="I895" s="3" t="s">
        <v>829</v>
      </c>
      <c r="J895" s="3"/>
      <c r="K895" s="3"/>
      <c r="L895" s="3" t="s">
        <v>833</v>
      </c>
      <c r="M895" s="3" t="s">
        <v>834</v>
      </c>
      <c r="N895" s="3"/>
    </row>
    <row r="896" customFormat="false" ht="34.5" hidden="false" customHeight="true" outlineLevel="0" collapsed="false">
      <c r="A896" s="3" t="s">
        <v>826</v>
      </c>
      <c r="B896" s="3" t="s">
        <v>826</v>
      </c>
      <c r="C896" s="4" t="s">
        <v>15</v>
      </c>
      <c r="D896" s="3" t="s">
        <v>24</v>
      </c>
      <c r="E896" s="5" t="n">
        <v>2429.53</v>
      </c>
      <c r="F896" s="3" t="s">
        <v>24</v>
      </c>
      <c r="G896" s="5" t="n">
        <v>2429.53</v>
      </c>
      <c r="H896" s="5" t="n">
        <f aca="false">ROUND(ABS(G896)-ABS(E896),2)</f>
        <v>0</v>
      </c>
      <c r="I896" s="3" t="s">
        <v>829</v>
      </c>
      <c r="J896" s="3"/>
      <c r="K896" s="3"/>
      <c r="L896" s="3" t="s">
        <v>830</v>
      </c>
      <c r="M896" s="3" t="s">
        <v>835</v>
      </c>
      <c r="N896" s="3"/>
    </row>
    <row r="897" customFormat="false" ht="34.5" hidden="false" customHeight="true" outlineLevel="0" collapsed="false">
      <c r="A897" s="3" t="s">
        <v>826</v>
      </c>
      <c r="B897" s="3" t="s">
        <v>826</v>
      </c>
      <c r="C897" s="4" t="s">
        <v>15</v>
      </c>
      <c r="D897" s="3" t="s">
        <v>25</v>
      </c>
      <c r="E897" s="5" t="n">
        <v>120.99</v>
      </c>
      <c r="F897" s="3" t="s">
        <v>25</v>
      </c>
      <c r="G897" s="5" t="n">
        <v>120.99</v>
      </c>
      <c r="H897" s="5" t="n">
        <f aca="false">ROUND(ABS(G897)-ABS(E897),2)</f>
        <v>0</v>
      </c>
      <c r="I897" s="3" t="s">
        <v>829</v>
      </c>
      <c r="J897" s="3"/>
      <c r="K897" s="3"/>
      <c r="L897" s="3" t="s">
        <v>836</v>
      </c>
      <c r="M897" s="3" t="s">
        <v>837</v>
      </c>
      <c r="N897" s="3"/>
    </row>
    <row r="898" customFormat="false" ht="23.25" hidden="false" customHeight="true" outlineLevel="0" collapsed="false">
      <c r="A898" s="3" t="s">
        <v>826</v>
      </c>
      <c r="B898" s="3" t="s">
        <v>826</v>
      </c>
      <c r="C898" s="7" t="s">
        <v>37</v>
      </c>
      <c r="D898" s="3" t="s">
        <v>29</v>
      </c>
      <c r="E898" s="5" t="s">
        <v>37</v>
      </c>
      <c r="F898" s="3" t="s">
        <v>29</v>
      </c>
      <c r="G898" s="5" t="s">
        <v>37</v>
      </c>
      <c r="H898" s="5" t="s">
        <v>37</v>
      </c>
      <c r="I898" s="3" t="s">
        <v>829</v>
      </c>
      <c r="J898" s="3" t="s">
        <v>38</v>
      </c>
      <c r="K898" s="3"/>
      <c r="L898" s="3" t="s">
        <v>39</v>
      </c>
      <c r="M898" s="3"/>
      <c r="N898" s="3" t="s">
        <v>40</v>
      </c>
    </row>
    <row r="899" customFormat="false" ht="34.5" hidden="false" customHeight="true" outlineLevel="0" collapsed="false">
      <c r="A899" s="3" t="s">
        <v>826</v>
      </c>
      <c r="B899" s="3" t="s">
        <v>826</v>
      </c>
      <c r="C899" s="4" t="s">
        <v>15</v>
      </c>
      <c r="D899" s="3" t="s">
        <v>16</v>
      </c>
      <c r="E899" s="5" t="n">
        <v>4400</v>
      </c>
      <c r="F899" s="3" t="s">
        <v>16</v>
      </c>
      <c r="G899" s="5" t="n">
        <v>4400</v>
      </c>
      <c r="H899" s="5" t="n">
        <f aca="false">ROUND(ABS(G899)-ABS(E899),2)</f>
        <v>0</v>
      </c>
      <c r="I899" s="3" t="s">
        <v>838</v>
      </c>
      <c r="J899" s="3"/>
      <c r="K899" s="3"/>
      <c r="L899" s="3" t="s">
        <v>830</v>
      </c>
      <c r="M899" s="3" t="s">
        <v>839</v>
      </c>
      <c r="N899" s="3"/>
    </row>
    <row r="900" customFormat="false" ht="34.5" hidden="false" customHeight="true" outlineLevel="0" collapsed="false">
      <c r="A900" s="3" t="s">
        <v>826</v>
      </c>
      <c r="B900" s="3" t="s">
        <v>826</v>
      </c>
      <c r="C900" s="4" t="s">
        <v>15</v>
      </c>
      <c r="D900" s="3" t="s">
        <v>21</v>
      </c>
      <c r="E900" s="5" t="n">
        <v>954.25</v>
      </c>
      <c r="F900" s="3" t="s">
        <v>21</v>
      </c>
      <c r="G900" s="5" t="n">
        <v>954.25</v>
      </c>
      <c r="H900" s="5" t="n">
        <f aca="false">ROUND(ABS(G900)-ABS(E900),2)</f>
        <v>0</v>
      </c>
      <c r="I900" s="3" t="s">
        <v>838</v>
      </c>
      <c r="J900" s="3"/>
      <c r="K900" s="3"/>
      <c r="L900" s="3" t="s">
        <v>830</v>
      </c>
      <c r="M900" s="3" t="s">
        <v>840</v>
      </c>
      <c r="N900" s="3"/>
    </row>
    <row r="901" customFormat="false" ht="34.5" hidden="false" customHeight="true" outlineLevel="0" collapsed="false">
      <c r="A901" s="3" t="s">
        <v>826</v>
      </c>
      <c r="B901" s="3" t="s">
        <v>826</v>
      </c>
      <c r="C901" s="4" t="s">
        <v>15</v>
      </c>
      <c r="D901" s="3" t="s">
        <v>22</v>
      </c>
      <c r="E901" s="5" t="n">
        <v>75</v>
      </c>
      <c r="F901" s="3" t="s">
        <v>22</v>
      </c>
      <c r="G901" s="5" t="n">
        <v>75</v>
      </c>
      <c r="H901" s="5" t="n">
        <f aca="false">ROUND(ABS(G901)-ABS(E901),2)</f>
        <v>0</v>
      </c>
      <c r="I901" s="3" t="s">
        <v>838</v>
      </c>
      <c r="J901" s="3"/>
      <c r="K901" s="3"/>
      <c r="L901" s="3" t="s">
        <v>833</v>
      </c>
      <c r="M901" s="3" t="s">
        <v>841</v>
      </c>
      <c r="N901" s="3"/>
    </row>
    <row r="902" customFormat="false" ht="34.5" hidden="false" customHeight="true" outlineLevel="0" collapsed="false">
      <c r="A902" s="3" t="s">
        <v>826</v>
      </c>
      <c r="B902" s="3" t="s">
        <v>826</v>
      </c>
      <c r="C902" s="4" t="s">
        <v>15</v>
      </c>
      <c r="D902" s="3" t="s">
        <v>24</v>
      </c>
      <c r="E902" s="5" t="n">
        <v>2710.32</v>
      </c>
      <c r="F902" s="3" t="s">
        <v>24</v>
      </c>
      <c r="G902" s="5" t="n">
        <v>2710.32</v>
      </c>
      <c r="H902" s="5" t="n">
        <f aca="false">ROUND(ABS(G902)-ABS(E902),2)</f>
        <v>0</v>
      </c>
      <c r="I902" s="3" t="s">
        <v>838</v>
      </c>
      <c r="J902" s="3"/>
      <c r="K902" s="3"/>
      <c r="L902" s="3" t="s">
        <v>830</v>
      </c>
      <c r="M902" s="3" t="s">
        <v>842</v>
      </c>
      <c r="N902" s="3"/>
    </row>
    <row r="903" customFormat="false" ht="45.75" hidden="false" customHeight="true" outlineLevel="0" collapsed="false">
      <c r="A903" s="3" t="s">
        <v>826</v>
      </c>
      <c r="B903" s="3" t="s">
        <v>826</v>
      </c>
      <c r="C903" s="6" t="s">
        <v>28</v>
      </c>
      <c r="D903" s="3" t="s">
        <v>25</v>
      </c>
      <c r="E903" s="5" t="n">
        <v>94.68</v>
      </c>
      <c r="F903" s="3" t="s">
        <v>25</v>
      </c>
      <c r="G903" s="5" t="n">
        <v>215.67</v>
      </c>
      <c r="H903" s="5" t="n">
        <f aca="false">ROUND(ABS(G903)-ABS(E903),2)</f>
        <v>120.99</v>
      </c>
      <c r="I903" s="3" t="s">
        <v>838</v>
      </c>
      <c r="J903" s="3"/>
      <c r="K903" s="3"/>
      <c r="L903" s="3" t="s">
        <v>836</v>
      </c>
      <c r="M903" s="3" t="s">
        <v>843</v>
      </c>
      <c r="N903" s="3"/>
    </row>
    <row r="904" customFormat="false" ht="23.25" hidden="false" customHeight="true" outlineLevel="0" collapsed="false">
      <c r="A904" s="3" t="s">
        <v>826</v>
      </c>
      <c r="B904" s="3" t="s">
        <v>826</v>
      </c>
      <c r="C904" s="7" t="s">
        <v>37</v>
      </c>
      <c r="D904" s="3" t="s">
        <v>29</v>
      </c>
      <c r="E904" s="5" t="s">
        <v>37</v>
      </c>
      <c r="F904" s="3" t="s">
        <v>29</v>
      </c>
      <c r="G904" s="5" t="s">
        <v>37</v>
      </c>
      <c r="H904" s="5" t="s">
        <v>37</v>
      </c>
      <c r="I904" s="3" t="s">
        <v>838</v>
      </c>
      <c r="J904" s="3" t="s">
        <v>38</v>
      </c>
      <c r="K904" s="3"/>
      <c r="L904" s="3" t="s">
        <v>39</v>
      </c>
      <c r="M904" s="3"/>
      <c r="N904" s="3" t="s">
        <v>40</v>
      </c>
    </row>
    <row r="905" customFormat="false" ht="75.75" hidden="false" customHeight="true" outlineLevel="0" collapsed="false">
      <c r="A905" s="8" t="s">
        <v>826</v>
      </c>
      <c r="B905" s="8" t="s">
        <v>826</v>
      </c>
      <c r="C905" s="8" t="s">
        <v>28</v>
      </c>
      <c r="D905" s="8" t="s">
        <v>47</v>
      </c>
      <c r="E905" s="8" t="s">
        <v>844</v>
      </c>
      <c r="F905" s="8" t="s">
        <v>47</v>
      </c>
      <c r="G905" s="8" t="s">
        <v>214</v>
      </c>
      <c r="H905" s="8"/>
      <c r="I905" s="8" t="s">
        <v>49</v>
      </c>
      <c r="J905" s="8" t="s">
        <v>214</v>
      </c>
      <c r="K905" s="8"/>
      <c r="L905" s="8" t="s">
        <v>827</v>
      </c>
      <c r="M905" s="8" t="s">
        <v>828</v>
      </c>
      <c r="N905" s="8" t="s">
        <v>845</v>
      </c>
    </row>
    <row r="906" customFormat="false" ht="23.25" hidden="false" customHeight="true" outlineLevel="0" collapsed="false">
      <c r="A906" s="3" t="s">
        <v>846</v>
      </c>
      <c r="B906" s="3" t="s">
        <v>846</v>
      </c>
      <c r="C906" s="4" t="s">
        <v>15</v>
      </c>
      <c r="D906" s="3" t="s">
        <v>16</v>
      </c>
      <c r="E906" s="5" t="n">
        <v>10600</v>
      </c>
      <c r="F906" s="3" t="s">
        <v>16</v>
      </c>
      <c r="G906" s="5" t="n">
        <v>10600</v>
      </c>
      <c r="H906" s="5" t="n">
        <f aca="false">ROUND(ABS(G906)-ABS(E906),2)</f>
        <v>0</v>
      </c>
      <c r="I906" s="3" t="s">
        <v>17</v>
      </c>
      <c r="J906" s="3" t="s">
        <v>214</v>
      </c>
      <c r="K906" s="3"/>
      <c r="L906" s="3" t="s">
        <v>847</v>
      </c>
      <c r="M906" s="3" t="s">
        <v>848</v>
      </c>
      <c r="N906" s="3"/>
    </row>
    <row r="907" customFormat="false" ht="23.25" hidden="false" customHeight="true" outlineLevel="0" collapsed="false">
      <c r="A907" s="3" t="s">
        <v>846</v>
      </c>
      <c r="B907" s="3" t="s">
        <v>846</v>
      </c>
      <c r="C907" s="6" t="s">
        <v>28</v>
      </c>
      <c r="D907" s="3" t="s">
        <v>21</v>
      </c>
      <c r="E907" s="5" t="n">
        <v>0</v>
      </c>
      <c r="F907" s="3" t="s">
        <v>21</v>
      </c>
      <c r="G907" s="5" t="n">
        <v>1727.47</v>
      </c>
      <c r="H907" s="5" t="n">
        <f aca="false">ROUND(ABS(G907)-ABS(E907),2)</f>
        <v>1727.47</v>
      </c>
      <c r="I907" s="3" t="s">
        <v>17</v>
      </c>
      <c r="J907" s="3" t="s">
        <v>214</v>
      </c>
      <c r="K907" s="3"/>
      <c r="L907" s="3" t="s">
        <v>847</v>
      </c>
      <c r="M907" s="3" t="s">
        <v>848</v>
      </c>
      <c r="N907" s="3"/>
    </row>
    <row r="908" customFormat="false" ht="23.25" hidden="false" customHeight="true" outlineLevel="0" collapsed="false">
      <c r="A908" s="3" t="s">
        <v>846</v>
      </c>
      <c r="B908" s="3" t="s">
        <v>846</v>
      </c>
      <c r="C908" s="4" t="s">
        <v>15</v>
      </c>
      <c r="D908" s="3" t="s">
        <v>22</v>
      </c>
      <c r="E908" s="5" t="n">
        <v>0</v>
      </c>
      <c r="F908" s="3" t="s">
        <v>22</v>
      </c>
      <c r="G908" s="5" t="n">
        <v>0</v>
      </c>
      <c r="H908" s="5" t="n">
        <f aca="false">ROUND(ABS(G908)-ABS(E908),2)</f>
        <v>0</v>
      </c>
      <c r="I908" s="3" t="s">
        <v>17</v>
      </c>
      <c r="J908" s="3" t="s">
        <v>214</v>
      </c>
      <c r="K908" s="3"/>
      <c r="L908" s="3" t="s">
        <v>847</v>
      </c>
      <c r="M908" s="3" t="s">
        <v>848</v>
      </c>
      <c r="N908" s="3" t="s">
        <v>23</v>
      </c>
    </row>
    <row r="909" customFormat="false" ht="23.25" hidden="false" customHeight="true" outlineLevel="0" collapsed="false">
      <c r="A909" s="3" t="s">
        <v>846</v>
      </c>
      <c r="B909" s="3" t="s">
        <v>846</v>
      </c>
      <c r="C909" s="4" t="s">
        <v>15</v>
      </c>
      <c r="D909" s="3" t="s">
        <v>24</v>
      </c>
      <c r="E909" s="5" t="n">
        <v>5696.69</v>
      </c>
      <c r="F909" s="3" t="s">
        <v>24</v>
      </c>
      <c r="G909" s="5" t="n">
        <v>5696.69</v>
      </c>
      <c r="H909" s="5" t="n">
        <f aca="false">ROUND(ABS(G909)-ABS(E909),2)</f>
        <v>0</v>
      </c>
      <c r="I909" s="3" t="s">
        <v>17</v>
      </c>
      <c r="J909" s="3" t="s">
        <v>214</v>
      </c>
      <c r="K909" s="3"/>
      <c r="L909" s="3" t="s">
        <v>847</v>
      </c>
      <c r="M909" s="3" t="s">
        <v>848</v>
      </c>
      <c r="N909" s="3"/>
    </row>
    <row r="910" customFormat="false" ht="23.25" hidden="false" customHeight="true" outlineLevel="0" collapsed="false">
      <c r="A910" s="3" t="s">
        <v>846</v>
      </c>
      <c r="B910" s="3" t="s">
        <v>846</v>
      </c>
      <c r="C910" s="6" t="s">
        <v>28</v>
      </c>
      <c r="D910" s="3" t="s">
        <v>25</v>
      </c>
      <c r="E910" s="5" t="n">
        <v>213.62</v>
      </c>
      <c r="F910" s="3" t="s">
        <v>25</v>
      </c>
      <c r="G910" s="5" t="n">
        <v>593.62</v>
      </c>
      <c r="H910" s="5" t="n">
        <f aca="false">ROUND(ABS(G910)-ABS(E910),2)</f>
        <v>380</v>
      </c>
      <c r="I910" s="3" t="s">
        <v>17</v>
      </c>
      <c r="J910" s="3" t="s">
        <v>214</v>
      </c>
      <c r="K910" s="3"/>
      <c r="L910" s="3" t="s">
        <v>847</v>
      </c>
      <c r="M910" s="3" t="s">
        <v>848</v>
      </c>
      <c r="N910" s="3"/>
    </row>
    <row r="911" customFormat="false" ht="23.25" hidden="false" customHeight="true" outlineLevel="0" collapsed="false">
      <c r="A911" s="3" t="s">
        <v>846</v>
      </c>
      <c r="B911" s="3" t="s">
        <v>846</v>
      </c>
      <c r="C911" s="4" t="s">
        <v>15</v>
      </c>
      <c r="D911" s="3" t="s">
        <v>26</v>
      </c>
      <c r="E911" s="5" t="n">
        <v>0</v>
      </c>
      <c r="F911" s="3" t="s">
        <v>26</v>
      </c>
      <c r="G911" s="5" t="n">
        <v>0</v>
      </c>
      <c r="H911" s="5" t="n">
        <f aca="false">ROUND(ABS(G911)-ABS(E911),2)</f>
        <v>0</v>
      </c>
      <c r="I911" s="3" t="s">
        <v>17</v>
      </c>
      <c r="J911" s="3" t="s">
        <v>214</v>
      </c>
      <c r="K911" s="3"/>
      <c r="L911" s="3" t="s">
        <v>847</v>
      </c>
      <c r="M911" s="3" t="s">
        <v>848</v>
      </c>
      <c r="N911" s="3" t="s">
        <v>27</v>
      </c>
    </row>
    <row r="912" customFormat="false" ht="23.25" hidden="false" customHeight="true" outlineLevel="0" collapsed="false">
      <c r="A912" s="3" t="s">
        <v>846</v>
      </c>
      <c r="B912" s="3" t="s">
        <v>846</v>
      </c>
      <c r="C912" s="6" t="s">
        <v>28</v>
      </c>
      <c r="D912" s="3" t="s">
        <v>29</v>
      </c>
      <c r="E912" s="5" t="n">
        <v>4457.19</v>
      </c>
      <c r="F912" s="3" t="s">
        <v>29</v>
      </c>
      <c r="G912" s="5" t="n">
        <v>-3289.47</v>
      </c>
      <c r="H912" s="5" t="n">
        <f aca="false">ROUND(ABS(G912)-ABS(E912),2)</f>
        <v>-1167.72</v>
      </c>
      <c r="I912" s="3" t="s">
        <v>17</v>
      </c>
      <c r="J912" s="3" t="s">
        <v>214</v>
      </c>
      <c r="K912" s="3"/>
      <c r="L912" s="3" t="s">
        <v>847</v>
      </c>
      <c r="M912" s="3" t="s">
        <v>848</v>
      </c>
      <c r="N912" s="3" t="s">
        <v>30</v>
      </c>
    </row>
    <row r="913" customFormat="false" ht="34.5" hidden="false" customHeight="true" outlineLevel="0" collapsed="false">
      <c r="A913" s="3" t="s">
        <v>846</v>
      </c>
      <c r="B913" s="3" t="s">
        <v>846</v>
      </c>
      <c r="C913" s="4" t="s">
        <v>15</v>
      </c>
      <c r="D913" s="3" t="s">
        <v>16</v>
      </c>
      <c r="E913" s="5" t="n">
        <v>5700</v>
      </c>
      <c r="F913" s="3" t="s">
        <v>16</v>
      </c>
      <c r="G913" s="5" t="n">
        <v>5700</v>
      </c>
      <c r="H913" s="5" t="n">
        <f aca="false">ROUND(ABS(G913)-ABS(E913),2)</f>
        <v>0</v>
      </c>
      <c r="I913" s="3" t="s">
        <v>849</v>
      </c>
      <c r="J913" s="3"/>
      <c r="K913" s="3"/>
      <c r="L913" s="3" t="s">
        <v>850</v>
      </c>
      <c r="M913" s="3" t="s">
        <v>851</v>
      </c>
      <c r="N913" s="3"/>
    </row>
    <row r="914" customFormat="false" ht="34.5" hidden="false" customHeight="true" outlineLevel="0" collapsed="false">
      <c r="A914" s="3" t="s">
        <v>846</v>
      </c>
      <c r="B914" s="3" t="s">
        <v>846</v>
      </c>
      <c r="C914" s="6" t="s">
        <v>28</v>
      </c>
      <c r="D914" s="3" t="s">
        <v>21</v>
      </c>
      <c r="E914" s="5" t="n">
        <v>0</v>
      </c>
      <c r="F914" s="3" t="s">
        <v>21</v>
      </c>
      <c r="G914" s="5" t="n">
        <v>834.8</v>
      </c>
      <c r="H914" s="5" t="n">
        <f aca="false">ROUND(ABS(G914)-ABS(E914),2)</f>
        <v>834.8</v>
      </c>
      <c r="I914" s="3" t="s">
        <v>849</v>
      </c>
      <c r="J914" s="3"/>
      <c r="K914" s="3"/>
      <c r="L914" s="3" t="s">
        <v>850</v>
      </c>
      <c r="M914" s="3" t="s">
        <v>852</v>
      </c>
      <c r="N914" s="3"/>
    </row>
    <row r="915" customFormat="false" ht="34.5" hidden="false" customHeight="true" outlineLevel="0" collapsed="false">
      <c r="A915" s="3" t="s">
        <v>846</v>
      </c>
      <c r="B915" s="3" t="s">
        <v>846</v>
      </c>
      <c r="C915" s="4" t="s">
        <v>15</v>
      </c>
      <c r="D915" s="3" t="s">
        <v>24</v>
      </c>
      <c r="E915" s="5" t="n">
        <v>2136.25</v>
      </c>
      <c r="F915" s="3" t="s">
        <v>24</v>
      </c>
      <c r="G915" s="5" t="n">
        <v>2136.25</v>
      </c>
      <c r="H915" s="5" t="n">
        <f aca="false">ROUND(ABS(G915)-ABS(E915),2)</f>
        <v>0</v>
      </c>
      <c r="I915" s="3" t="s">
        <v>849</v>
      </c>
      <c r="J915" s="3"/>
      <c r="K915" s="3"/>
      <c r="L915" s="3" t="s">
        <v>850</v>
      </c>
      <c r="M915" s="3" t="s">
        <v>853</v>
      </c>
      <c r="N915" s="3"/>
    </row>
    <row r="916" customFormat="false" ht="34.5" hidden="false" customHeight="true" outlineLevel="0" collapsed="false">
      <c r="A916" s="3" t="s">
        <v>846</v>
      </c>
      <c r="B916" s="3" t="s">
        <v>846</v>
      </c>
      <c r="C916" s="7" t="s">
        <v>37</v>
      </c>
      <c r="D916" s="3" t="s">
        <v>25</v>
      </c>
      <c r="E916" s="5" t="n">
        <v>50.51</v>
      </c>
      <c r="F916" s="3" t="s">
        <v>25</v>
      </c>
      <c r="G916" s="5" t="n">
        <v>105.72</v>
      </c>
      <c r="H916" s="5" t="n">
        <f aca="false">ROUND(ABS(G916)-ABS(E916),2)</f>
        <v>55.21</v>
      </c>
      <c r="I916" s="3" t="s">
        <v>849</v>
      </c>
      <c r="J916" s="3"/>
      <c r="K916" s="3"/>
      <c r="L916" s="3" t="s">
        <v>854</v>
      </c>
      <c r="M916" s="3" t="s">
        <v>855</v>
      </c>
      <c r="N916" s="3" t="s">
        <v>62</v>
      </c>
    </row>
    <row r="917" customFormat="false" ht="23.25" hidden="false" customHeight="true" outlineLevel="0" collapsed="false">
      <c r="A917" s="3" t="s">
        <v>846</v>
      </c>
      <c r="B917" s="3" t="s">
        <v>846</v>
      </c>
      <c r="C917" s="7" t="s">
        <v>37</v>
      </c>
      <c r="D917" s="3" t="s">
        <v>29</v>
      </c>
      <c r="E917" s="5" t="s">
        <v>37</v>
      </c>
      <c r="F917" s="3" t="s">
        <v>29</v>
      </c>
      <c r="G917" s="5" t="s">
        <v>37</v>
      </c>
      <c r="H917" s="5" t="s">
        <v>37</v>
      </c>
      <c r="I917" s="3" t="s">
        <v>849</v>
      </c>
      <c r="J917" s="3" t="s">
        <v>38</v>
      </c>
      <c r="K917" s="3"/>
      <c r="L917" s="3" t="s">
        <v>39</v>
      </c>
      <c r="M917" s="3"/>
      <c r="N917" s="3" t="s">
        <v>40</v>
      </c>
    </row>
    <row r="918" customFormat="false" ht="34.5" hidden="false" customHeight="true" outlineLevel="0" collapsed="false">
      <c r="A918" s="3" t="s">
        <v>846</v>
      </c>
      <c r="B918" s="3" t="s">
        <v>846</v>
      </c>
      <c r="C918" s="4" t="s">
        <v>15</v>
      </c>
      <c r="D918" s="3" t="s">
        <v>16</v>
      </c>
      <c r="E918" s="5" t="n">
        <v>4900</v>
      </c>
      <c r="F918" s="3" t="s">
        <v>16</v>
      </c>
      <c r="G918" s="5" t="n">
        <v>4900</v>
      </c>
      <c r="H918" s="5" t="n">
        <f aca="false">ROUND(ABS(G918)-ABS(E918),2)</f>
        <v>0</v>
      </c>
      <c r="I918" s="3" t="s">
        <v>856</v>
      </c>
      <c r="J918" s="3"/>
      <c r="K918" s="3"/>
      <c r="L918" s="3" t="s">
        <v>850</v>
      </c>
      <c r="M918" s="3" t="s">
        <v>857</v>
      </c>
      <c r="N918" s="3"/>
    </row>
    <row r="919" customFormat="false" ht="34.5" hidden="false" customHeight="true" outlineLevel="0" collapsed="false">
      <c r="A919" s="3" t="s">
        <v>846</v>
      </c>
      <c r="B919" s="3" t="s">
        <v>846</v>
      </c>
      <c r="C919" s="6" t="s">
        <v>28</v>
      </c>
      <c r="D919" s="3" t="s">
        <v>21</v>
      </c>
      <c r="E919" s="5" t="n">
        <v>0</v>
      </c>
      <c r="F919" s="3" t="s">
        <v>21</v>
      </c>
      <c r="G919" s="5" t="n">
        <v>892.67</v>
      </c>
      <c r="H919" s="5" t="n">
        <f aca="false">ROUND(ABS(G919)-ABS(E919),2)</f>
        <v>892.67</v>
      </c>
      <c r="I919" s="3" t="s">
        <v>856</v>
      </c>
      <c r="J919" s="3"/>
      <c r="K919" s="3"/>
      <c r="L919" s="3" t="s">
        <v>850</v>
      </c>
      <c r="M919" s="3" t="s">
        <v>858</v>
      </c>
      <c r="N919" s="3"/>
    </row>
    <row r="920" customFormat="false" ht="34.5" hidden="false" customHeight="true" outlineLevel="0" collapsed="false">
      <c r="A920" s="3" t="s">
        <v>846</v>
      </c>
      <c r="B920" s="3" t="s">
        <v>846</v>
      </c>
      <c r="C920" s="4" t="s">
        <v>15</v>
      </c>
      <c r="D920" s="3" t="s">
        <v>24</v>
      </c>
      <c r="E920" s="5" t="n">
        <v>3560.44</v>
      </c>
      <c r="F920" s="3" t="s">
        <v>24</v>
      </c>
      <c r="G920" s="5" t="n">
        <v>3560.44</v>
      </c>
      <c r="H920" s="5" t="n">
        <f aca="false">ROUND(ABS(G920)-ABS(E920),2)</f>
        <v>0</v>
      </c>
      <c r="I920" s="3" t="s">
        <v>856</v>
      </c>
      <c r="J920" s="3"/>
      <c r="K920" s="3"/>
      <c r="L920" s="3" t="s">
        <v>850</v>
      </c>
      <c r="M920" s="3" t="s">
        <v>859</v>
      </c>
      <c r="N920" s="3"/>
    </row>
    <row r="921" customFormat="false" ht="34.5" hidden="false" customHeight="true" outlineLevel="0" collapsed="false">
      <c r="A921" s="3" t="s">
        <v>846</v>
      </c>
      <c r="B921" s="3" t="s">
        <v>846</v>
      </c>
      <c r="C921" s="7" t="s">
        <v>37</v>
      </c>
      <c r="D921" s="3" t="s">
        <v>25</v>
      </c>
      <c r="E921" s="5" t="n">
        <v>65.22</v>
      </c>
      <c r="F921" s="3" t="s">
        <v>25</v>
      </c>
      <c r="G921" s="5" t="n">
        <v>487.9</v>
      </c>
      <c r="H921" s="5" t="n">
        <f aca="false">ROUND(ABS(G921)-ABS(E921),2)</f>
        <v>422.68</v>
      </c>
      <c r="I921" s="3" t="s">
        <v>856</v>
      </c>
      <c r="J921" s="3"/>
      <c r="K921" s="3"/>
      <c r="L921" s="3" t="s">
        <v>854</v>
      </c>
      <c r="M921" s="3" t="s">
        <v>860</v>
      </c>
      <c r="N921" s="3" t="s">
        <v>62</v>
      </c>
    </row>
    <row r="922" customFormat="false" ht="23.25" hidden="false" customHeight="true" outlineLevel="0" collapsed="false">
      <c r="A922" s="3" t="s">
        <v>846</v>
      </c>
      <c r="B922" s="3" t="s">
        <v>846</v>
      </c>
      <c r="C922" s="7" t="s">
        <v>37</v>
      </c>
      <c r="D922" s="3" t="s">
        <v>29</v>
      </c>
      <c r="E922" s="5" t="s">
        <v>37</v>
      </c>
      <c r="F922" s="3" t="s">
        <v>29</v>
      </c>
      <c r="G922" s="5" t="s">
        <v>37</v>
      </c>
      <c r="H922" s="5" t="s">
        <v>37</v>
      </c>
      <c r="I922" s="3" t="s">
        <v>856</v>
      </c>
      <c r="J922" s="3" t="s">
        <v>38</v>
      </c>
      <c r="K922" s="3"/>
      <c r="L922" s="3" t="s">
        <v>39</v>
      </c>
      <c r="M922" s="3"/>
      <c r="N922" s="3" t="s">
        <v>40</v>
      </c>
    </row>
    <row r="923" customFormat="false" ht="15" hidden="false" customHeight="true" outlineLevel="0" collapsed="false">
      <c r="A923" s="3" t="s">
        <v>846</v>
      </c>
      <c r="B923" s="3" t="s">
        <v>846</v>
      </c>
      <c r="C923" s="7" t="s">
        <v>37</v>
      </c>
      <c r="D923" s="3" t="s">
        <v>25</v>
      </c>
      <c r="E923" s="5" t="n">
        <v>97.89</v>
      </c>
      <c r="F923" s="3" t="s">
        <v>25</v>
      </c>
      <c r="G923" s="5" t="s">
        <v>37</v>
      </c>
      <c r="H923" s="5" t="s">
        <v>37</v>
      </c>
      <c r="I923" s="3" t="s">
        <v>70</v>
      </c>
      <c r="J923" s="3" t="s">
        <v>71</v>
      </c>
      <c r="K923" s="3"/>
      <c r="L923" s="3" t="s">
        <v>72</v>
      </c>
      <c r="M923" s="3"/>
      <c r="N923" s="3" t="s">
        <v>73</v>
      </c>
    </row>
    <row r="924" customFormat="false" ht="75.75" hidden="false" customHeight="true" outlineLevel="0" collapsed="false">
      <c r="A924" s="8" t="s">
        <v>846</v>
      </c>
      <c r="B924" s="8" t="s">
        <v>846</v>
      </c>
      <c r="C924" s="8" t="s">
        <v>28</v>
      </c>
      <c r="D924" s="8" t="s">
        <v>47</v>
      </c>
      <c r="E924" s="8" t="s">
        <v>861</v>
      </c>
      <c r="F924" s="8" t="s">
        <v>47</v>
      </c>
      <c r="G924" s="8" t="s">
        <v>214</v>
      </c>
      <c r="H924" s="8"/>
      <c r="I924" s="8" t="s">
        <v>49</v>
      </c>
      <c r="J924" s="8" t="s">
        <v>214</v>
      </c>
      <c r="K924" s="8"/>
      <c r="L924" s="8" t="s">
        <v>847</v>
      </c>
      <c r="M924" s="8" t="s">
        <v>848</v>
      </c>
      <c r="N924" s="8" t="s">
        <v>862</v>
      </c>
    </row>
    <row r="925" customFormat="false" ht="23.25" hidden="false" customHeight="true" outlineLevel="0" collapsed="false">
      <c r="A925" s="3" t="s">
        <v>863</v>
      </c>
      <c r="B925" s="3" t="s">
        <v>863</v>
      </c>
      <c r="C925" s="4" t="s">
        <v>15</v>
      </c>
      <c r="D925" s="3" t="s">
        <v>16</v>
      </c>
      <c r="E925" s="5" t="n">
        <v>10117</v>
      </c>
      <c r="F925" s="3" t="s">
        <v>16</v>
      </c>
      <c r="G925" s="5" t="n">
        <v>10117</v>
      </c>
      <c r="H925" s="5" t="n">
        <f aca="false">ROUND(ABS(G925)-ABS(E925),2)</f>
        <v>0</v>
      </c>
      <c r="I925" s="3" t="s">
        <v>17</v>
      </c>
      <c r="J925" s="3" t="s">
        <v>214</v>
      </c>
      <c r="K925" s="3"/>
      <c r="L925" s="3" t="s">
        <v>864</v>
      </c>
      <c r="M925" s="3" t="s">
        <v>865</v>
      </c>
      <c r="N925" s="3"/>
    </row>
    <row r="926" customFormat="false" ht="23.25" hidden="false" customHeight="true" outlineLevel="0" collapsed="false">
      <c r="A926" s="3" t="s">
        <v>863</v>
      </c>
      <c r="B926" s="3" t="s">
        <v>863</v>
      </c>
      <c r="C926" s="4" t="s">
        <v>15</v>
      </c>
      <c r="D926" s="3" t="s">
        <v>21</v>
      </c>
      <c r="E926" s="5" t="n">
        <v>1896.05</v>
      </c>
      <c r="F926" s="3" t="s">
        <v>21</v>
      </c>
      <c r="G926" s="5" t="n">
        <v>1896.05</v>
      </c>
      <c r="H926" s="5" t="n">
        <f aca="false">ROUND(ABS(G926)-ABS(E926),2)</f>
        <v>0</v>
      </c>
      <c r="I926" s="3" t="s">
        <v>17</v>
      </c>
      <c r="J926" s="3" t="s">
        <v>214</v>
      </c>
      <c r="K926" s="3"/>
      <c r="L926" s="3" t="s">
        <v>864</v>
      </c>
      <c r="M926" s="3" t="s">
        <v>865</v>
      </c>
      <c r="N926" s="3"/>
    </row>
    <row r="927" customFormat="false" ht="23.25" hidden="false" customHeight="true" outlineLevel="0" collapsed="false">
      <c r="A927" s="3" t="s">
        <v>863</v>
      </c>
      <c r="B927" s="3" t="s">
        <v>863</v>
      </c>
      <c r="C927" s="4" t="s">
        <v>15</v>
      </c>
      <c r="D927" s="3" t="s">
        <v>22</v>
      </c>
      <c r="E927" s="5" t="n">
        <v>100</v>
      </c>
      <c r="F927" s="3" t="s">
        <v>22</v>
      </c>
      <c r="G927" s="5" t="n">
        <v>100</v>
      </c>
      <c r="H927" s="5" t="n">
        <f aca="false">ROUND(ABS(G927)-ABS(E927),2)</f>
        <v>0</v>
      </c>
      <c r="I927" s="3" t="s">
        <v>17</v>
      </c>
      <c r="J927" s="3" t="s">
        <v>214</v>
      </c>
      <c r="K927" s="3"/>
      <c r="L927" s="3" t="s">
        <v>864</v>
      </c>
      <c r="M927" s="3" t="s">
        <v>865</v>
      </c>
      <c r="N927" s="3" t="s">
        <v>23</v>
      </c>
    </row>
    <row r="928" customFormat="false" ht="23.25" hidden="false" customHeight="true" outlineLevel="0" collapsed="false">
      <c r="A928" s="3" t="s">
        <v>863</v>
      </c>
      <c r="B928" s="3" t="s">
        <v>863</v>
      </c>
      <c r="C928" s="4" t="s">
        <v>15</v>
      </c>
      <c r="D928" s="3" t="s">
        <v>24</v>
      </c>
      <c r="E928" s="5" t="n">
        <v>4315.7</v>
      </c>
      <c r="F928" s="3" t="s">
        <v>24</v>
      </c>
      <c r="G928" s="5" t="n">
        <v>4315.7</v>
      </c>
      <c r="H928" s="5" t="n">
        <f aca="false">ROUND(ABS(G928)-ABS(E928),2)</f>
        <v>0</v>
      </c>
      <c r="I928" s="3" t="s">
        <v>17</v>
      </c>
      <c r="J928" s="3" t="s">
        <v>214</v>
      </c>
      <c r="K928" s="3"/>
      <c r="L928" s="3" t="s">
        <v>864</v>
      </c>
      <c r="M928" s="3" t="s">
        <v>865</v>
      </c>
      <c r="N928" s="3"/>
    </row>
    <row r="929" customFormat="false" ht="23.25" hidden="false" customHeight="true" outlineLevel="0" collapsed="false">
      <c r="A929" s="3" t="s">
        <v>863</v>
      </c>
      <c r="B929" s="3" t="s">
        <v>863</v>
      </c>
      <c r="C929" s="4" t="s">
        <v>15</v>
      </c>
      <c r="D929" s="3" t="s">
        <v>25</v>
      </c>
      <c r="E929" s="5" t="n">
        <v>139.97</v>
      </c>
      <c r="F929" s="3" t="s">
        <v>25</v>
      </c>
      <c r="G929" s="5" t="n">
        <v>139.97</v>
      </c>
      <c r="H929" s="5" t="n">
        <f aca="false">ROUND(ABS(G929)-ABS(E929),2)</f>
        <v>0</v>
      </c>
      <c r="I929" s="3" t="s">
        <v>17</v>
      </c>
      <c r="J929" s="3" t="s">
        <v>214</v>
      </c>
      <c r="K929" s="3"/>
      <c r="L929" s="3" t="s">
        <v>864</v>
      </c>
      <c r="M929" s="3" t="s">
        <v>865</v>
      </c>
      <c r="N929" s="3"/>
    </row>
    <row r="930" customFormat="false" ht="23.25" hidden="false" customHeight="true" outlineLevel="0" collapsed="false">
      <c r="A930" s="3" t="s">
        <v>863</v>
      </c>
      <c r="B930" s="3" t="s">
        <v>863</v>
      </c>
      <c r="C930" s="4" t="s">
        <v>15</v>
      </c>
      <c r="D930" s="3" t="s">
        <v>26</v>
      </c>
      <c r="E930" s="5" t="n">
        <v>0</v>
      </c>
      <c r="F930" s="3" t="s">
        <v>26</v>
      </c>
      <c r="G930" s="5" t="n">
        <v>0</v>
      </c>
      <c r="H930" s="5" t="n">
        <f aca="false">ROUND(ABS(G930)-ABS(E930),2)</f>
        <v>0</v>
      </c>
      <c r="I930" s="3" t="s">
        <v>17</v>
      </c>
      <c r="J930" s="3" t="s">
        <v>214</v>
      </c>
      <c r="K930" s="3"/>
      <c r="L930" s="3" t="s">
        <v>864</v>
      </c>
      <c r="M930" s="3" t="s">
        <v>865</v>
      </c>
      <c r="N930" s="3" t="s">
        <v>27</v>
      </c>
    </row>
    <row r="931" customFormat="false" ht="23.25" hidden="false" customHeight="true" outlineLevel="0" collapsed="false">
      <c r="A931" s="3" t="s">
        <v>863</v>
      </c>
      <c r="B931" s="3" t="s">
        <v>863</v>
      </c>
      <c r="C931" s="6" t="s">
        <v>28</v>
      </c>
      <c r="D931" s="3" t="s">
        <v>29</v>
      </c>
      <c r="E931" s="5" t="n">
        <v>3435.27</v>
      </c>
      <c r="F931" s="3" t="s">
        <v>29</v>
      </c>
      <c r="G931" s="5" t="n">
        <v>-650.42</v>
      </c>
      <c r="H931" s="5" t="n">
        <f aca="false">ROUND(ABS(G931)-ABS(E931),2)</f>
        <v>-2784.85</v>
      </c>
      <c r="I931" s="3" t="s">
        <v>17</v>
      </c>
      <c r="J931" s="3" t="s">
        <v>214</v>
      </c>
      <c r="K931" s="3"/>
      <c r="L931" s="3" t="s">
        <v>864</v>
      </c>
      <c r="M931" s="3" t="s">
        <v>865</v>
      </c>
      <c r="N931" s="3" t="s">
        <v>30</v>
      </c>
    </row>
    <row r="932" customFormat="false" ht="34.5" hidden="false" customHeight="true" outlineLevel="0" collapsed="false">
      <c r="A932" s="3" t="s">
        <v>863</v>
      </c>
      <c r="B932" s="3" t="s">
        <v>863</v>
      </c>
      <c r="C932" s="4" t="s">
        <v>15</v>
      </c>
      <c r="D932" s="3" t="s">
        <v>16</v>
      </c>
      <c r="E932" s="5" t="n">
        <v>4900</v>
      </c>
      <c r="F932" s="3" t="s">
        <v>16</v>
      </c>
      <c r="G932" s="5" t="n">
        <v>4900</v>
      </c>
      <c r="H932" s="5" t="n">
        <f aca="false">ROUND(ABS(G932)-ABS(E932),2)</f>
        <v>0</v>
      </c>
      <c r="I932" s="3" t="s">
        <v>866</v>
      </c>
      <c r="J932" s="3"/>
      <c r="K932" s="3"/>
      <c r="L932" s="3" t="s">
        <v>867</v>
      </c>
      <c r="M932" s="3" t="s">
        <v>868</v>
      </c>
      <c r="N932" s="3"/>
    </row>
    <row r="933" customFormat="false" ht="34.5" hidden="false" customHeight="true" outlineLevel="0" collapsed="false">
      <c r="A933" s="3" t="s">
        <v>863</v>
      </c>
      <c r="B933" s="3" t="s">
        <v>863</v>
      </c>
      <c r="C933" s="4" t="s">
        <v>15</v>
      </c>
      <c r="D933" s="3" t="s">
        <v>21</v>
      </c>
      <c r="E933" s="5" t="n">
        <v>945.1</v>
      </c>
      <c r="F933" s="3" t="s">
        <v>21</v>
      </c>
      <c r="G933" s="5" t="n">
        <v>945.1</v>
      </c>
      <c r="H933" s="5" t="n">
        <f aca="false">ROUND(ABS(G933)-ABS(E933),2)</f>
        <v>0</v>
      </c>
      <c r="I933" s="3" t="s">
        <v>866</v>
      </c>
      <c r="J933" s="3"/>
      <c r="K933" s="3"/>
      <c r="L933" s="3" t="s">
        <v>867</v>
      </c>
      <c r="M933" s="3" t="s">
        <v>869</v>
      </c>
      <c r="N933" s="3"/>
    </row>
    <row r="934" customFormat="false" ht="34.5" hidden="false" customHeight="true" outlineLevel="0" collapsed="false">
      <c r="A934" s="3" t="s">
        <v>863</v>
      </c>
      <c r="B934" s="3" t="s">
        <v>863</v>
      </c>
      <c r="C934" s="4" t="s">
        <v>15</v>
      </c>
      <c r="D934" s="3" t="s">
        <v>22</v>
      </c>
      <c r="E934" s="5" t="n">
        <v>50</v>
      </c>
      <c r="F934" s="3" t="s">
        <v>22</v>
      </c>
      <c r="G934" s="5" t="n">
        <v>50</v>
      </c>
      <c r="H934" s="5" t="n">
        <f aca="false">ROUND(ABS(G934)-ABS(E934),2)</f>
        <v>0</v>
      </c>
      <c r="I934" s="3" t="s">
        <v>866</v>
      </c>
      <c r="J934" s="3"/>
      <c r="K934" s="3"/>
      <c r="L934" s="3" t="s">
        <v>870</v>
      </c>
      <c r="M934" s="3" t="s">
        <v>871</v>
      </c>
      <c r="N934" s="3"/>
    </row>
    <row r="935" customFormat="false" ht="34.5" hidden="false" customHeight="true" outlineLevel="0" collapsed="false">
      <c r="A935" s="3" t="s">
        <v>863</v>
      </c>
      <c r="B935" s="3" t="s">
        <v>863</v>
      </c>
      <c r="C935" s="4" t="s">
        <v>15</v>
      </c>
      <c r="D935" s="3" t="s">
        <v>24</v>
      </c>
      <c r="E935" s="5" t="n">
        <v>2260.67</v>
      </c>
      <c r="F935" s="3" t="s">
        <v>24</v>
      </c>
      <c r="G935" s="5" t="n">
        <v>2260.67</v>
      </c>
      <c r="H935" s="5" t="n">
        <f aca="false">ROUND(ABS(G935)-ABS(E935),2)</f>
        <v>0</v>
      </c>
      <c r="I935" s="3" t="s">
        <v>866</v>
      </c>
      <c r="J935" s="3"/>
      <c r="K935" s="3"/>
      <c r="L935" s="3" t="s">
        <v>867</v>
      </c>
      <c r="M935" s="3" t="s">
        <v>872</v>
      </c>
      <c r="N935" s="3"/>
    </row>
    <row r="936" customFormat="false" ht="34.5" hidden="false" customHeight="true" outlineLevel="0" collapsed="false">
      <c r="A936" s="3" t="s">
        <v>863</v>
      </c>
      <c r="B936" s="3" t="s">
        <v>863</v>
      </c>
      <c r="C936" s="4" t="s">
        <v>15</v>
      </c>
      <c r="D936" s="3" t="s">
        <v>25</v>
      </c>
      <c r="E936" s="5" t="n">
        <v>73.46</v>
      </c>
      <c r="F936" s="3" t="s">
        <v>25</v>
      </c>
      <c r="G936" s="5" t="n">
        <v>73.46</v>
      </c>
      <c r="H936" s="5" t="n">
        <f aca="false">ROUND(ABS(G936)-ABS(E936),2)</f>
        <v>0</v>
      </c>
      <c r="I936" s="3" t="s">
        <v>866</v>
      </c>
      <c r="J936" s="3"/>
      <c r="K936" s="3"/>
      <c r="L936" s="3" t="s">
        <v>873</v>
      </c>
      <c r="M936" s="3" t="s">
        <v>874</v>
      </c>
      <c r="N936" s="3"/>
    </row>
    <row r="937" customFormat="false" ht="23.25" hidden="false" customHeight="true" outlineLevel="0" collapsed="false">
      <c r="A937" s="3" t="s">
        <v>863</v>
      </c>
      <c r="B937" s="3" t="s">
        <v>863</v>
      </c>
      <c r="C937" s="7" t="s">
        <v>37</v>
      </c>
      <c r="D937" s="3" t="s">
        <v>29</v>
      </c>
      <c r="E937" s="5" t="s">
        <v>37</v>
      </c>
      <c r="F937" s="3" t="s">
        <v>29</v>
      </c>
      <c r="G937" s="5" t="s">
        <v>37</v>
      </c>
      <c r="H937" s="5" t="s">
        <v>37</v>
      </c>
      <c r="I937" s="3" t="s">
        <v>866</v>
      </c>
      <c r="J937" s="3" t="s">
        <v>38</v>
      </c>
      <c r="K937" s="3"/>
      <c r="L937" s="3" t="s">
        <v>39</v>
      </c>
      <c r="M937" s="3"/>
      <c r="N937" s="3" t="s">
        <v>40</v>
      </c>
    </row>
    <row r="938" customFormat="false" ht="34.5" hidden="false" customHeight="true" outlineLevel="0" collapsed="false">
      <c r="A938" s="3" t="s">
        <v>863</v>
      </c>
      <c r="B938" s="3" t="s">
        <v>863</v>
      </c>
      <c r="C938" s="4" t="s">
        <v>15</v>
      </c>
      <c r="D938" s="3" t="s">
        <v>16</v>
      </c>
      <c r="E938" s="5" t="n">
        <v>5217</v>
      </c>
      <c r="F938" s="3" t="s">
        <v>16</v>
      </c>
      <c r="G938" s="5" t="n">
        <v>5217</v>
      </c>
      <c r="H938" s="5" t="n">
        <f aca="false">ROUND(ABS(G938)-ABS(E938),2)</f>
        <v>0</v>
      </c>
      <c r="I938" s="3" t="s">
        <v>875</v>
      </c>
      <c r="J938" s="3"/>
      <c r="K938" s="3"/>
      <c r="L938" s="3" t="s">
        <v>867</v>
      </c>
      <c r="M938" s="3" t="s">
        <v>876</v>
      </c>
      <c r="N938" s="3"/>
    </row>
    <row r="939" customFormat="false" ht="34.5" hidden="false" customHeight="true" outlineLevel="0" collapsed="false">
      <c r="A939" s="3" t="s">
        <v>863</v>
      </c>
      <c r="B939" s="3" t="s">
        <v>863</v>
      </c>
      <c r="C939" s="4" t="s">
        <v>15</v>
      </c>
      <c r="D939" s="3" t="s">
        <v>21</v>
      </c>
      <c r="E939" s="5" t="n">
        <v>950.95</v>
      </c>
      <c r="F939" s="3" t="s">
        <v>21</v>
      </c>
      <c r="G939" s="5" t="n">
        <v>950.95</v>
      </c>
      <c r="H939" s="5" t="n">
        <f aca="false">ROUND(ABS(G939)-ABS(E939),2)</f>
        <v>0</v>
      </c>
      <c r="I939" s="3" t="s">
        <v>875</v>
      </c>
      <c r="J939" s="3"/>
      <c r="K939" s="3"/>
      <c r="L939" s="3" t="s">
        <v>867</v>
      </c>
      <c r="M939" s="3" t="s">
        <v>877</v>
      </c>
      <c r="N939" s="3"/>
    </row>
    <row r="940" customFormat="false" ht="34.5" hidden="false" customHeight="true" outlineLevel="0" collapsed="false">
      <c r="A940" s="3" t="s">
        <v>863</v>
      </c>
      <c r="B940" s="3" t="s">
        <v>863</v>
      </c>
      <c r="C940" s="4" t="s">
        <v>15</v>
      </c>
      <c r="D940" s="3" t="s">
        <v>22</v>
      </c>
      <c r="E940" s="5" t="n">
        <v>50</v>
      </c>
      <c r="F940" s="3" t="s">
        <v>22</v>
      </c>
      <c r="G940" s="5" t="n">
        <v>50</v>
      </c>
      <c r="H940" s="5" t="n">
        <f aca="false">ROUND(ABS(G940)-ABS(E940),2)</f>
        <v>0</v>
      </c>
      <c r="I940" s="3" t="s">
        <v>875</v>
      </c>
      <c r="J940" s="3"/>
      <c r="K940" s="3"/>
      <c r="L940" s="3" t="s">
        <v>870</v>
      </c>
      <c r="M940" s="3" t="s">
        <v>878</v>
      </c>
      <c r="N940" s="3"/>
    </row>
    <row r="941" customFormat="false" ht="34.5" hidden="false" customHeight="true" outlineLevel="0" collapsed="false">
      <c r="A941" s="3" t="s">
        <v>863</v>
      </c>
      <c r="B941" s="3" t="s">
        <v>863</v>
      </c>
      <c r="C941" s="4" t="s">
        <v>15</v>
      </c>
      <c r="D941" s="3" t="s">
        <v>24</v>
      </c>
      <c r="E941" s="5" t="n">
        <v>2055.03</v>
      </c>
      <c r="F941" s="3" t="s">
        <v>24</v>
      </c>
      <c r="G941" s="5" t="n">
        <v>2055.03</v>
      </c>
      <c r="H941" s="5" t="n">
        <f aca="false">ROUND(ABS(G941)-ABS(E941),2)</f>
        <v>0</v>
      </c>
      <c r="I941" s="3" t="s">
        <v>875</v>
      </c>
      <c r="J941" s="3"/>
      <c r="K941" s="3"/>
      <c r="L941" s="3" t="s">
        <v>867</v>
      </c>
      <c r="M941" s="3" t="s">
        <v>879</v>
      </c>
      <c r="N941" s="3"/>
    </row>
    <row r="942" customFormat="false" ht="34.5" hidden="false" customHeight="true" outlineLevel="0" collapsed="false">
      <c r="A942" s="3" t="s">
        <v>863</v>
      </c>
      <c r="B942" s="3" t="s">
        <v>863</v>
      </c>
      <c r="C942" s="4" t="s">
        <v>15</v>
      </c>
      <c r="D942" s="3" t="s">
        <v>25</v>
      </c>
      <c r="E942" s="5" t="n">
        <v>66.51</v>
      </c>
      <c r="F942" s="3" t="s">
        <v>25</v>
      </c>
      <c r="G942" s="5" t="n">
        <v>66.51</v>
      </c>
      <c r="H942" s="5" t="n">
        <f aca="false">ROUND(ABS(G942)-ABS(E942),2)</f>
        <v>0</v>
      </c>
      <c r="I942" s="3" t="s">
        <v>875</v>
      </c>
      <c r="J942" s="3"/>
      <c r="K942" s="3"/>
      <c r="L942" s="3" t="s">
        <v>873</v>
      </c>
      <c r="M942" s="3" t="s">
        <v>880</v>
      </c>
      <c r="N942" s="3"/>
    </row>
    <row r="943" customFormat="false" ht="23.25" hidden="false" customHeight="true" outlineLevel="0" collapsed="false">
      <c r="A943" s="3" t="s">
        <v>863</v>
      </c>
      <c r="B943" s="3" t="s">
        <v>863</v>
      </c>
      <c r="C943" s="7" t="s">
        <v>37</v>
      </c>
      <c r="D943" s="3" t="s">
        <v>29</v>
      </c>
      <c r="E943" s="5" t="s">
        <v>37</v>
      </c>
      <c r="F943" s="3" t="s">
        <v>29</v>
      </c>
      <c r="G943" s="5" t="s">
        <v>37</v>
      </c>
      <c r="H943" s="5" t="s">
        <v>37</v>
      </c>
      <c r="I943" s="3" t="s">
        <v>875</v>
      </c>
      <c r="J943" s="3" t="s">
        <v>38</v>
      </c>
      <c r="K943" s="3"/>
      <c r="L943" s="3" t="s">
        <v>39</v>
      </c>
      <c r="M943" s="3"/>
      <c r="N943" s="3" t="s">
        <v>40</v>
      </c>
    </row>
    <row r="944" customFormat="false" ht="75.75" hidden="false" customHeight="true" outlineLevel="0" collapsed="false">
      <c r="A944" s="8" t="s">
        <v>863</v>
      </c>
      <c r="B944" s="8" t="s">
        <v>863</v>
      </c>
      <c r="C944" s="8" t="s">
        <v>28</v>
      </c>
      <c r="D944" s="8" t="s">
        <v>47</v>
      </c>
      <c r="E944" s="8" t="s">
        <v>881</v>
      </c>
      <c r="F944" s="8" t="s">
        <v>47</v>
      </c>
      <c r="G944" s="8" t="s">
        <v>214</v>
      </c>
      <c r="H944" s="8"/>
      <c r="I944" s="8" t="s">
        <v>49</v>
      </c>
      <c r="J944" s="8" t="s">
        <v>214</v>
      </c>
      <c r="K944" s="8"/>
      <c r="L944" s="8" t="s">
        <v>864</v>
      </c>
      <c r="M944" s="8" t="s">
        <v>865</v>
      </c>
      <c r="N944" s="8" t="s">
        <v>50</v>
      </c>
    </row>
    <row r="945" customFormat="false" ht="23.25" hidden="false" customHeight="true" outlineLevel="0" collapsed="false">
      <c r="A945" s="3" t="s">
        <v>882</v>
      </c>
      <c r="B945" s="3" t="s">
        <v>882</v>
      </c>
      <c r="C945" s="4" t="s">
        <v>15</v>
      </c>
      <c r="D945" s="3" t="s">
        <v>16</v>
      </c>
      <c r="E945" s="5" t="n">
        <v>9300</v>
      </c>
      <c r="F945" s="3" t="s">
        <v>16</v>
      </c>
      <c r="G945" s="5" t="n">
        <v>9300</v>
      </c>
      <c r="H945" s="5" t="n">
        <f aca="false">ROUND(ABS(G945)-ABS(E945),2)</f>
        <v>0</v>
      </c>
      <c r="I945" s="3" t="s">
        <v>17</v>
      </c>
      <c r="J945" s="3" t="s">
        <v>214</v>
      </c>
      <c r="K945" s="3"/>
      <c r="L945" s="3" t="s">
        <v>883</v>
      </c>
      <c r="M945" s="3" t="s">
        <v>884</v>
      </c>
      <c r="N945" s="3"/>
    </row>
    <row r="946" customFormat="false" ht="23.25" hidden="false" customHeight="true" outlineLevel="0" collapsed="false">
      <c r="A946" s="3" t="s">
        <v>882</v>
      </c>
      <c r="B946" s="3" t="s">
        <v>882</v>
      </c>
      <c r="C946" s="4" t="s">
        <v>15</v>
      </c>
      <c r="D946" s="3" t="s">
        <v>21</v>
      </c>
      <c r="E946" s="5" t="n">
        <v>1902.65</v>
      </c>
      <c r="F946" s="3" t="s">
        <v>21</v>
      </c>
      <c r="G946" s="5" t="n">
        <v>1902.65</v>
      </c>
      <c r="H946" s="5" t="n">
        <f aca="false">ROUND(ABS(G946)-ABS(E946),2)</f>
        <v>0</v>
      </c>
      <c r="I946" s="3" t="s">
        <v>17</v>
      </c>
      <c r="J946" s="3" t="s">
        <v>214</v>
      </c>
      <c r="K946" s="3"/>
      <c r="L946" s="3" t="s">
        <v>883</v>
      </c>
      <c r="M946" s="3" t="s">
        <v>884</v>
      </c>
      <c r="N946" s="3"/>
    </row>
    <row r="947" customFormat="false" ht="23.25" hidden="false" customHeight="true" outlineLevel="0" collapsed="false">
      <c r="A947" s="3" t="s">
        <v>882</v>
      </c>
      <c r="B947" s="3" t="s">
        <v>882</v>
      </c>
      <c r="C947" s="4" t="s">
        <v>15</v>
      </c>
      <c r="D947" s="3" t="s">
        <v>22</v>
      </c>
      <c r="E947" s="5" t="n">
        <v>100</v>
      </c>
      <c r="F947" s="3" t="s">
        <v>22</v>
      </c>
      <c r="G947" s="5" t="n">
        <v>100</v>
      </c>
      <c r="H947" s="5" t="n">
        <f aca="false">ROUND(ABS(G947)-ABS(E947),2)</f>
        <v>0</v>
      </c>
      <c r="I947" s="3" t="s">
        <v>17</v>
      </c>
      <c r="J947" s="3" t="s">
        <v>214</v>
      </c>
      <c r="K947" s="3"/>
      <c r="L947" s="3" t="s">
        <v>883</v>
      </c>
      <c r="M947" s="3" t="s">
        <v>884</v>
      </c>
      <c r="N947" s="3" t="s">
        <v>23</v>
      </c>
    </row>
    <row r="948" customFormat="false" ht="23.25" hidden="false" customHeight="true" outlineLevel="0" collapsed="false">
      <c r="A948" s="3" t="s">
        <v>882</v>
      </c>
      <c r="B948" s="3" t="s">
        <v>882</v>
      </c>
      <c r="C948" s="4" t="s">
        <v>15</v>
      </c>
      <c r="D948" s="3" t="s">
        <v>24</v>
      </c>
      <c r="E948" s="5" t="n">
        <v>3687.66</v>
      </c>
      <c r="F948" s="3" t="s">
        <v>24</v>
      </c>
      <c r="G948" s="5" t="n">
        <v>3687.66</v>
      </c>
      <c r="H948" s="5" t="n">
        <f aca="false">ROUND(ABS(G948)-ABS(E948),2)</f>
        <v>0</v>
      </c>
      <c r="I948" s="3" t="s">
        <v>17</v>
      </c>
      <c r="J948" s="3" t="s">
        <v>214</v>
      </c>
      <c r="K948" s="3"/>
      <c r="L948" s="3" t="s">
        <v>883</v>
      </c>
      <c r="M948" s="3" t="s">
        <v>884</v>
      </c>
      <c r="N948" s="3"/>
    </row>
    <row r="949" customFormat="false" ht="23.25" hidden="false" customHeight="true" outlineLevel="0" collapsed="false">
      <c r="A949" s="3" t="s">
        <v>882</v>
      </c>
      <c r="B949" s="3" t="s">
        <v>882</v>
      </c>
      <c r="C949" s="4" t="s">
        <v>15</v>
      </c>
      <c r="D949" s="3" t="s">
        <v>25</v>
      </c>
      <c r="E949" s="5" t="n">
        <v>162.2</v>
      </c>
      <c r="F949" s="3" t="s">
        <v>25</v>
      </c>
      <c r="G949" s="5" t="n">
        <v>162.2</v>
      </c>
      <c r="H949" s="5" t="n">
        <f aca="false">ROUND(ABS(G949)-ABS(E949),2)</f>
        <v>0</v>
      </c>
      <c r="I949" s="3" t="s">
        <v>17</v>
      </c>
      <c r="J949" s="3" t="s">
        <v>214</v>
      </c>
      <c r="K949" s="3"/>
      <c r="L949" s="3" t="s">
        <v>883</v>
      </c>
      <c r="M949" s="3" t="s">
        <v>884</v>
      </c>
      <c r="N949" s="3"/>
    </row>
    <row r="950" customFormat="false" ht="23.25" hidden="false" customHeight="true" outlineLevel="0" collapsed="false">
      <c r="A950" s="3" t="s">
        <v>882</v>
      </c>
      <c r="B950" s="3" t="s">
        <v>882</v>
      </c>
      <c r="C950" s="4" t="s">
        <v>15</v>
      </c>
      <c r="D950" s="3" t="s">
        <v>26</v>
      </c>
      <c r="E950" s="5" t="n">
        <v>0</v>
      </c>
      <c r="F950" s="3" t="s">
        <v>26</v>
      </c>
      <c r="G950" s="5" t="n">
        <v>0</v>
      </c>
      <c r="H950" s="5" t="n">
        <f aca="false">ROUND(ABS(G950)-ABS(E950),2)</f>
        <v>0</v>
      </c>
      <c r="I950" s="3" t="s">
        <v>17</v>
      </c>
      <c r="J950" s="3" t="s">
        <v>214</v>
      </c>
      <c r="K950" s="3"/>
      <c r="L950" s="3" t="s">
        <v>883</v>
      </c>
      <c r="M950" s="3" t="s">
        <v>884</v>
      </c>
      <c r="N950" s="3" t="s">
        <v>27</v>
      </c>
    </row>
    <row r="951" customFormat="false" ht="23.25" hidden="false" customHeight="true" outlineLevel="0" collapsed="false">
      <c r="A951" s="3" t="s">
        <v>882</v>
      </c>
      <c r="B951" s="3" t="s">
        <v>882</v>
      </c>
      <c r="C951" s="6" t="s">
        <v>28</v>
      </c>
      <c r="D951" s="3" t="s">
        <v>29</v>
      </c>
      <c r="E951" s="5" t="n">
        <v>3307.99</v>
      </c>
      <c r="F951" s="3" t="s">
        <v>29</v>
      </c>
      <c r="G951" s="5" t="n">
        <v>-240.17</v>
      </c>
      <c r="H951" s="5" t="n">
        <f aca="false">ROUND(ABS(G951)-ABS(E951),2)</f>
        <v>-3067.82</v>
      </c>
      <c r="I951" s="3" t="s">
        <v>17</v>
      </c>
      <c r="J951" s="3" t="s">
        <v>214</v>
      </c>
      <c r="K951" s="3"/>
      <c r="L951" s="3" t="s">
        <v>883</v>
      </c>
      <c r="M951" s="3" t="s">
        <v>884</v>
      </c>
      <c r="N951" s="3" t="s">
        <v>30</v>
      </c>
    </row>
    <row r="952" customFormat="false" ht="34.5" hidden="false" customHeight="true" outlineLevel="0" collapsed="false">
      <c r="A952" s="3" t="s">
        <v>882</v>
      </c>
      <c r="B952" s="3" t="s">
        <v>882</v>
      </c>
      <c r="C952" s="4" t="s">
        <v>15</v>
      </c>
      <c r="D952" s="3" t="s">
        <v>16</v>
      </c>
      <c r="E952" s="5" t="n">
        <v>4900</v>
      </c>
      <c r="F952" s="3" t="s">
        <v>16</v>
      </c>
      <c r="G952" s="5" t="n">
        <v>4900</v>
      </c>
      <c r="H952" s="5" t="n">
        <f aca="false">ROUND(ABS(G952)-ABS(E952),2)</f>
        <v>0</v>
      </c>
      <c r="I952" s="3" t="s">
        <v>885</v>
      </c>
      <c r="J952" s="3"/>
      <c r="K952" s="3"/>
      <c r="L952" s="3" t="s">
        <v>886</v>
      </c>
      <c r="M952" s="3" t="s">
        <v>887</v>
      </c>
      <c r="N952" s="3"/>
    </row>
    <row r="953" customFormat="false" ht="34.5" hidden="false" customHeight="true" outlineLevel="0" collapsed="false">
      <c r="A953" s="3" t="s">
        <v>882</v>
      </c>
      <c r="B953" s="3" t="s">
        <v>882</v>
      </c>
      <c r="C953" s="4" t="s">
        <v>15</v>
      </c>
      <c r="D953" s="3" t="s">
        <v>21</v>
      </c>
      <c r="E953" s="5" t="n">
        <v>945.1</v>
      </c>
      <c r="F953" s="3" t="s">
        <v>21</v>
      </c>
      <c r="G953" s="5" t="n">
        <v>945.1</v>
      </c>
      <c r="H953" s="5" t="n">
        <f aca="false">ROUND(ABS(G953)-ABS(E953),2)</f>
        <v>0</v>
      </c>
      <c r="I953" s="3" t="s">
        <v>885</v>
      </c>
      <c r="J953" s="3"/>
      <c r="K953" s="3"/>
      <c r="L953" s="3" t="s">
        <v>886</v>
      </c>
      <c r="M953" s="3" t="s">
        <v>888</v>
      </c>
      <c r="N953" s="3"/>
    </row>
    <row r="954" customFormat="false" ht="34.5" hidden="false" customHeight="true" outlineLevel="0" collapsed="false">
      <c r="A954" s="3" t="s">
        <v>882</v>
      </c>
      <c r="B954" s="3" t="s">
        <v>882</v>
      </c>
      <c r="C954" s="4" t="s">
        <v>15</v>
      </c>
      <c r="D954" s="3" t="s">
        <v>22</v>
      </c>
      <c r="E954" s="5" t="n">
        <v>50</v>
      </c>
      <c r="F954" s="3" t="s">
        <v>22</v>
      </c>
      <c r="G954" s="5" t="n">
        <v>50</v>
      </c>
      <c r="H954" s="5" t="n">
        <f aca="false">ROUND(ABS(G954)-ABS(E954),2)</f>
        <v>0</v>
      </c>
      <c r="I954" s="3" t="s">
        <v>885</v>
      </c>
      <c r="J954" s="3"/>
      <c r="K954" s="3"/>
      <c r="L954" s="3" t="s">
        <v>889</v>
      </c>
      <c r="M954" s="3" t="s">
        <v>890</v>
      </c>
      <c r="N954" s="3"/>
    </row>
    <row r="955" customFormat="false" ht="34.5" hidden="false" customHeight="true" outlineLevel="0" collapsed="false">
      <c r="A955" s="3" t="s">
        <v>882</v>
      </c>
      <c r="B955" s="3" t="s">
        <v>882</v>
      </c>
      <c r="C955" s="4" t="s">
        <v>15</v>
      </c>
      <c r="D955" s="3" t="s">
        <v>24</v>
      </c>
      <c r="E955" s="5" t="n">
        <v>1995.38</v>
      </c>
      <c r="F955" s="3" t="s">
        <v>24</v>
      </c>
      <c r="G955" s="5" t="n">
        <v>1995.38</v>
      </c>
      <c r="H955" s="5" t="n">
        <f aca="false">ROUND(ABS(G955)-ABS(E955),2)</f>
        <v>0</v>
      </c>
      <c r="I955" s="3" t="s">
        <v>885</v>
      </c>
      <c r="J955" s="3"/>
      <c r="K955" s="3"/>
      <c r="L955" s="3" t="s">
        <v>886</v>
      </c>
      <c r="M955" s="3" t="s">
        <v>891</v>
      </c>
      <c r="N955" s="3"/>
    </row>
    <row r="956" customFormat="false" ht="34.5" hidden="false" customHeight="true" outlineLevel="0" collapsed="false">
      <c r="A956" s="3" t="s">
        <v>882</v>
      </c>
      <c r="B956" s="3" t="s">
        <v>882</v>
      </c>
      <c r="C956" s="4" t="s">
        <v>15</v>
      </c>
      <c r="D956" s="3" t="s">
        <v>25</v>
      </c>
      <c r="E956" s="5" t="n">
        <v>89.65</v>
      </c>
      <c r="F956" s="3" t="s">
        <v>25</v>
      </c>
      <c r="G956" s="5" t="n">
        <v>89.65</v>
      </c>
      <c r="H956" s="5" t="n">
        <f aca="false">ROUND(ABS(G956)-ABS(E956),2)</f>
        <v>0</v>
      </c>
      <c r="I956" s="3" t="s">
        <v>885</v>
      </c>
      <c r="J956" s="3"/>
      <c r="K956" s="3"/>
      <c r="L956" s="3" t="s">
        <v>892</v>
      </c>
      <c r="M956" s="3" t="s">
        <v>893</v>
      </c>
      <c r="N956" s="3"/>
    </row>
    <row r="957" customFormat="false" ht="23.25" hidden="false" customHeight="true" outlineLevel="0" collapsed="false">
      <c r="A957" s="3" t="s">
        <v>882</v>
      </c>
      <c r="B957" s="3" t="s">
        <v>882</v>
      </c>
      <c r="C957" s="7" t="s">
        <v>37</v>
      </c>
      <c r="D957" s="3" t="s">
        <v>29</v>
      </c>
      <c r="E957" s="5" t="s">
        <v>37</v>
      </c>
      <c r="F957" s="3" t="s">
        <v>29</v>
      </c>
      <c r="G957" s="5" t="s">
        <v>37</v>
      </c>
      <c r="H957" s="5" t="s">
        <v>37</v>
      </c>
      <c r="I957" s="3" t="s">
        <v>885</v>
      </c>
      <c r="J957" s="3" t="s">
        <v>38</v>
      </c>
      <c r="K957" s="3"/>
      <c r="L957" s="3" t="s">
        <v>39</v>
      </c>
      <c r="M957" s="3"/>
      <c r="N957" s="3" t="s">
        <v>40</v>
      </c>
    </row>
    <row r="958" customFormat="false" ht="34.5" hidden="false" customHeight="true" outlineLevel="0" collapsed="false">
      <c r="A958" s="3" t="s">
        <v>882</v>
      </c>
      <c r="B958" s="3" t="s">
        <v>882</v>
      </c>
      <c r="C958" s="4" t="s">
        <v>15</v>
      </c>
      <c r="D958" s="3" t="s">
        <v>16</v>
      </c>
      <c r="E958" s="5" t="n">
        <v>4400</v>
      </c>
      <c r="F958" s="3" t="s">
        <v>16</v>
      </c>
      <c r="G958" s="5" t="n">
        <v>4400</v>
      </c>
      <c r="H958" s="5" t="n">
        <f aca="false">ROUND(ABS(G958)-ABS(E958),2)</f>
        <v>0</v>
      </c>
      <c r="I958" s="3" t="s">
        <v>894</v>
      </c>
      <c r="J958" s="3"/>
      <c r="K958" s="3"/>
      <c r="L958" s="3" t="s">
        <v>886</v>
      </c>
      <c r="M958" s="3" t="s">
        <v>895</v>
      </c>
      <c r="N958" s="3"/>
    </row>
    <row r="959" customFormat="false" ht="34.5" hidden="false" customHeight="true" outlineLevel="0" collapsed="false">
      <c r="A959" s="3" t="s">
        <v>882</v>
      </c>
      <c r="B959" s="3" t="s">
        <v>882</v>
      </c>
      <c r="C959" s="4" t="s">
        <v>15</v>
      </c>
      <c r="D959" s="3" t="s">
        <v>21</v>
      </c>
      <c r="E959" s="5" t="n">
        <v>957.55</v>
      </c>
      <c r="F959" s="3" t="s">
        <v>21</v>
      </c>
      <c r="G959" s="5" t="n">
        <v>957.55</v>
      </c>
      <c r="H959" s="5" t="n">
        <f aca="false">ROUND(ABS(G959)-ABS(E959),2)</f>
        <v>0</v>
      </c>
      <c r="I959" s="3" t="s">
        <v>894</v>
      </c>
      <c r="J959" s="3"/>
      <c r="K959" s="3"/>
      <c r="L959" s="3" t="s">
        <v>886</v>
      </c>
      <c r="M959" s="3" t="s">
        <v>896</v>
      </c>
      <c r="N959" s="3"/>
    </row>
    <row r="960" customFormat="false" ht="34.5" hidden="false" customHeight="true" outlineLevel="0" collapsed="false">
      <c r="A960" s="3" t="s">
        <v>882</v>
      </c>
      <c r="B960" s="3" t="s">
        <v>882</v>
      </c>
      <c r="C960" s="4" t="s">
        <v>15</v>
      </c>
      <c r="D960" s="3" t="s">
        <v>22</v>
      </c>
      <c r="E960" s="5" t="n">
        <v>50</v>
      </c>
      <c r="F960" s="3" t="s">
        <v>22</v>
      </c>
      <c r="G960" s="5" t="n">
        <v>50</v>
      </c>
      <c r="H960" s="5" t="n">
        <f aca="false">ROUND(ABS(G960)-ABS(E960),2)</f>
        <v>0</v>
      </c>
      <c r="I960" s="3" t="s">
        <v>894</v>
      </c>
      <c r="J960" s="3"/>
      <c r="K960" s="3"/>
      <c r="L960" s="3" t="s">
        <v>889</v>
      </c>
      <c r="M960" s="3" t="s">
        <v>897</v>
      </c>
      <c r="N960" s="3"/>
    </row>
    <row r="961" customFormat="false" ht="34.5" hidden="false" customHeight="true" outlineLevel="0" collapsed="false">
      <c r="A961" s="3" t="s">
        <v>882</v>
      </c>
      <c r="B961" s="3" t="s">
        <v>882</v>
      </c>
      <c r="C961" s="4" t="s">
        <v>15</v>
      </c>
      <c r="D961" s="3" t="s">
        <v>24</v>
      </c>
      <c r="E961" s="5" t="n">
        <v>1692.28</v>
      </c>
      <c r="F961" s="3" t="s">
        <v>24</v>
      </c>
      <c r="G961" s="5" t="n">
        <v>1692.28</v>
      </c>
      <c r="H961" s="5" t="n">
        <f aca="false">ROUND(ABS(G961)-ABS(E961),2)</f>
        <v>0</v>
      </c>
      <c r="I961" s="3" t="s">
        <v>894</v>
      </c>
      <c r="J961" s="3"/>
      <c r="K961" s="3"/>
      <c r="L961" s="3" t="s">
        <v>886</v>
      </c>
      <c r="M961" s="3" t="s">
        <v>898</v>
      </c>
      <c r="N961" s="3"/>
    </row>
    <row r="962" customFormat="false" ht="34.5" hidden="false" customHeight="true" outlineLevel="0" collapsed="false">
      <c r="A962" s="3" t="s">
        <v>882</v>
      </c>
      <c r="B962" s="3" t="s">
        <v>882</v>
      </c>
      <c r="C962" s="4" t="s">
        <v>15</v>
      </c>
      <c r="D962" s="3" t="s">
        <v>25</v>
      </c>
      <c r="E962" s="5" t="n">
        <v>72.55</v>
      </c>
      <c r="F962" s="3" t="s">
        <v>25</v>
      </c>
      <c r="G962" s="5" t="n">
        <v>72.55</v>
      </c>
      <c r="H962" s="5" t="n">
        <f aca="false">ROUND(ABS(G962)-ABS(E962),2)</f>
        <v>0</v>
      </c>
      <c r="I962" s="3" t="s">
        <v>894</v>
      </c>
      <c r="J962" s="3"/>
      <c r="K962" s="3"/>
      <c r="L962" s="3" t="s">
        <v>892</v>
      </c>
      <c r="M962" s="3" t="s">
        <v>899</v>
      </c>
      <c r="N962" s="3"/>
    </row>
    <row r="963" customFormat="false" ht="23.25" hidden="false" customHeight="true" outlineLevel="0" collapsed="false">
      <c r="A963" s="3" t="s">
        <v>882</v>
      </c>
      <c r="B963" s="3" t="s">
        <v>882</v>
      </c>
      <c r="C963" s="7" t="s">
        <v>37</v>
      </c>
      <c r="D963" s="3" t="s">
        <v>29</v>
      </c>
      <c r="E963" s="5" t="s">
        <v>37</v>
      </c>
      <c r="F963" s="3" t="s">
        <v>29</v>
      </c>
      <c r="G963" s="5" t="s">
        <v>37</v>
      </c>
      <c r="H963" s="5" t="s">
        <v>37</v>
      </c>
      <c r="I963" s="3" t="s">
        <v>894</v>
      </c>
      <c r="J963" s="3" t="s">
        <v>38</v>
      </c>
      <c r="K963" s="3"/>
      <c r="L963" s="3" t="s">
        <v>39</v>
      </c>
      <c r="M963" s="3"/>
      <c r="N963" s="3" t="s">
        <v>40</v>
      </c>
    </row>
    <row r="964" customFormat="false" ht="75.75" hidden="false" customHeight="true" outlineLevel="0" collapsed="false">
      <c r="A964" s="8" t="s">
        <v>882</v>
      </c>
      <c r="B964" s="8" t="s">
        <v>882</v>
      </c>
      <c r="C964" s="8" t="s">
        <v>28</v>
      </c>
      <c r="D964" s="8" t="s">
        <v>47</v>
      </c>
      <c r="E964" s="8" t="s">
        <v>900</v>
      </c>
      <c r="F964" s="8" t="s">
        <v>47</v>
      </c>
      <c r="G964" s="8" t="s">
        <v>214</v>
      </c>
      <c r="H964" s="8"/>
      <c r="I964" s="8" t="s">
        <v>49</v>
      </c>
      <c r="J964" s="8" t="s">
        <v>214</v>
      </c>
      <c r="K964" s="8"/>
      <c r="L964" s="8" t="s">
        <v>883</v>
      </c>
      <c r="M964" s="8" t="s">
        <v>884</v>
      </c>
      <c r="N964" s="8" t="s">
        <v>50</v>
      </c>
    </row>
    <row r="965" customFormat="false" ht="23.25" hidden="false" customHeight="true" outlineLevel="0" collapsed="false">
      <c r="A965" s="3" t="s">
        <v>901</v>
      </c>
      <c r="B965" s="3" t="s">
        <v>901</v>
      </c>
      <c r="C965" s="4" t="s">
        <v>15</v>
      </c>
      <c r="D965" s="3" t="s">
        <v>16</v>
      </c>
      <c r="E965" s="5" t="n">
        <v>7400</v>
      </c>
      <c r="F965" s="3" t="s">
        <v>16</v>
      </c>
      <c r="G965" s="5" t="n">
        <v>7400</v>
      </c>
      <c r="H965" s="5" t="n">
        <f aca="false">ROUND(ABS(G965)-ABS(E965),2)</f>
        <v>0</v>
      </c>
      <c r="I965" s="3" t="s">
        <v>17</v>
      </c>
      <c r="J965" s="3" t="s">
        <v>214</v>
      </c>
      <c r="K965" s="3"/>
      <c r="L965" s="3" t="s">
        <v>902</v>
      </c>
      <c r="M965" s="3" t="s">
        <v>903</v>
      </c>
      <c r="N965" s="3"/>
    </row>
    <row r="966" customFormat="false" ht="23.25" hidden="false" customHeight="true" outlineLevel="0" collapsed="false">
      <c r="A966" s="3" t="s">
        <v>901</v>
      </c>
      <c r="B966" s="3" t="s">
        <v>901</v>
      </c>
      <c r="C966" s="4" t="s">
        <v>15</v>
      </c>
      <c r="D966" s="3" t="s">
        <v>21</v>
      </c>
      <c r="E966" s="5" t="n">
        <v>1266.1</v>
      </c>
      <c r="F966" s="3" t="s">
        <v>21</v>
      </c>
      <c r="G966" s="5" t="n">
        <v>1266.1</v>
      </c>
      <c r="H966" s="5" t="n">
        <f aca="false">ROUND(ABS(G966)-ABS(E966),2)</f>
        <v>0</v>
      </c>
      <c r="I966" s="3" t="s">
        <v>17</v>
      </c>
      <c r="J966" s="3" t="s">
        <v>214</v>
      </c>
      <c r="K966" s="3"/>
      <c r="L966" s="3" t="s">
        <v>902</v>
      </c>
      <c r="M966" s="3" t="s">
        <v>903</v>
      </c>
      <c r="N966" s="3"/>
    </row>
    <row r="967" customFormat="false" ht="23.25" hidden="false" customHeight="true" outlineLevel="0" collapsed="false">
      <c r="A967" s="3" t="s">
        <v>901</v>
      </c>
      <c r="B967" s="3" t="s">
        <v>901</v>
      </c>
      <c r="C967" s="4" t="s">
        <v>15</v>
      </c>
      <c r="D967" s="3" t="s">
        <v>22</v>
      </c>
      <c r="E967" s="5" t="n">
        <v>0</v>
      </c>
      <c r="F967" s="3" t="s">
        <v>22</v>
      </c>
      <c r="G967" s="5" t="n">
        <v>0</v>
      </c>
      <c r="H967" s="5" t="n">
        <f aca="false">ROUND(ABS(G967)-ABS(E967),2)</f>
        <v>0</v>
      </c>
      <c r="I967" s="3" t="s">
        <v>17</v>
      </c>
      <c r="J967" s="3" t="s">
        <v>214</v>
      </c>
      <c r="K967" s="3"/>
      <c r="L967" s="3" t="s">
        <v>902</v>
      </c>
      <c r="M967" s="3" t="s">
        <v>903</v>
      </c>
      <c r="N967" s="3" t="s">
        <v>23</v>
      </c>
    </row>
    <row r="968" customFormat="false" ht="23.25" hidden="false" customHeight="true" outlineLevel="0" collapsed="false">
      <c r="A968" s="3" t="s">
        <v>901</v>
      </c>
      <c r="B968" s="3" t="s">
        <v>901</v>
      </c>
      <c r="C968" s="4" t="s">
        <v>15</v>
      </c>
      <c r="D968" s="3" t="s">
        <v>24</v>
      </c>
      <c r="E968" s="5" t="n">
        <v>4244</v>
      </c>
      <c r="F968" s="3" t="s">
        <v>24</v>
      </c>
      <c r="G968" s="5" t="n">
        <v>4244</v>
      </c>
      <c r="H968" s="5" t="n">
        <f aca="false">ROUND(ABS(G968)-ABS(E968),2)</f>
        <v>0</v>
      </c>
      <c r="I968" s="3" t="s">
        <v>17</v>
      </c>
      <c r="J968" s="3" t="s">
        <v>214</v>
      </c>
      <c r="K968" s="3"/>
      <c r="L968" s="3" t="s">
        <v>902</v>
      </c>
      <c r="M968" s="3" t="s">
        <v>903</v>
      </c>
      <c r="N968" s="3"/>
    </row>
    <row r="969" customFormat="false" ht="23.25" hidden="false" customHeight="true" outlineLevel="0" collapsed="false">
      <c r="A969" s="3" t="s">
        <v>901</v>
      </c>
      <c r="B969" s="3" t="s">
        <v>901</v>
      </c>
      <c r="C969" s="4" t="s">
        <v>15</v>
      </c>
      <c r="D969" s="3" t="s">
        <v>25</v>
      </c>
      <c r="E969" s="5" t="n">
        <v>690.09</v>
      </c>
      <c r="F969" s="3" t="s">
        <v>25</v>
      </c>
      <c r="G969" s="5" t="n">
        <v>690.09</v>
      </c>
      <c r="H969" s="5" t="n">
        <f aca="false">ROUND(ABS(G969)-ABS(E969),2)</f>
        <v>0</v>
      </c>
      <c r="I969" s="3" t="s">
        <v>17</v>
      </c>
      <c r="J969" s="3" t="s">
        <v>214</v>
      </c>
      <c r="K969" s="3"/>
      <c r="L969" s="3" t="s">
        <v>902</v>
      </c>
      <c r="M969" s="3" t="s">
        <v>903</v>
      </c>
      <c r="N969" s="3"/>
    </row>
    <row r="970" customFormat="false" ht="23.25" hidden="false" customHeight="true" outlineLevel="0" collapsed="false">
      <c r="A970" s="3" t="s">
        <v>901</v>
      </c>
      <c r="B970" s="3" t="s">
        <v>901</v>
      </c>
      <c r="C970" s="4" t="s">
        <v>15</v>
      </c>
      <c r="D970" s="3" t="s">
        <v>26</v>
      </c>
      <c r="E970" s="5" t="n">
        <v>0</v>
      </c>
      <c r="F970" s="3" t="s">
        <v>26</v>
      </c>
      <c r="G970" s="5" t="n">
        <v>0</v>
      </c>
      <c r="H970" s="5" t="n">
        <f aca="false">ROUND(ABS(G970)-ABS(E970),2)</f>
        <v>0</v>
      </c>
      <c r="I970" s="3" t="s">
        <v>17</v>
      </c>
      <c r="J970" s="3" t="s">
        <v>214</v>
      </c>
      <c r="K970" s="3"/>
      <c r="L970" s="3" t="s">
        <v>902</v>
      </c>
      <c r="M970" s="3" t="s">
        <v>903</v>
      </c>
      <c r="N970" s="3" t="s">
        <v>27</v>
      </c>
    </row>
    <row r="971" customFormat="false" ht="23.25" hidden="false" customHeight="true" outlineLevel="0" collapsed="false">
      <c r="A971" s="3" t="s">
        <v>901</v>
      </c>
      <c r="B971" s="3" t="s">
        <v>901</v>
      </c>
      <c r="C971" s="6" t="s">
        <v>28</v>
      </c>
      <c r="D971" s="3" t="s">
        <v>29</v>
      </c>
      <c r="E971" s="5" t="n">
        <v>1088.81</v>
      </c>
      <c r="F971" s="3" t="s">
        <v>29</v>
      </c>
      <c r="G971" s="5" t="n">
        <v>-3044.19</v>
      </c>
      <c r="H971" s="5" t="n">
        <f aca="false">ROUND(ABS(G971)-ABS(E971),2)</f>
        <v>1955.38</v>
      </c>
      <c r="I971" s="3" t="s">
        <v>17</v>
      </c>
      <c r="J971" s="3" t="s">
        <v>214</v>
      </c>
      <c r="K971" s="3"/>
      <c r="L971" s="3" t="s">
        <v>902</v>
      </c>
      <c r="M971" s="3" t="s">
        <v>903</v>
      </c>
      <c r="N971" s="3" t="s">
        <v>30</v>
      </c>
    </row>
    <row r="972" customFormat="false" ht="34.5" hidden="false" customHeight="true" outlineLevel="0" collapsed="false">
      <c r="A972" s="3" t="s">
        <v>901</v>
      </c>
      <c r="B972" s="3" t="s">
        <v>901</v>
      </c>
      <c r="C972" s="4" t="s">
        <v>15</v>
      </c>
      <c r="D972" s="3" t="s">
        <v>16</v>
      </c>
      <c r="E972" s="5" t="n">
        <v>3700</v>
      </c>
      <c r="F972" s="3" t="s">
        <v>16</v>
      </c>
      <c r="G972" s="5" t="n">
        <v>3700</v>
      </c>
      <c r="H972" s="5" t="n">
        <f aca="false">ROUND(ABS(G972)-ABS(E972),2)</f>
        <v>0</v>
      </c>
      <c r="I972" s="3" t="s">
        <v>904</v>
      </c>
      <c r="J972" s="3"/>
      <c r="K972" s="3"/>
      <c r="L972" s="3" t="s">
        <v>905</v>
      </c>
      <c r="M972" s="3" t="s">
        <v>906</v>
      </c>
      <c r="N972" s="3"/>
    </row>
    <row r="973" customFormat="false" ht="34.5" hidden="false" customHeight="true" outlineLevel="0" collapsed="false">
      <c r="A973" s="3" t="s">
        <v>901</v>
      </c>
      <c r="B973" s="3" t="s">
        <v>901</v>
      </c>
      <c r="C973" s="4" t="s">
        <v>15</v>
      </c>
      <c r="D973" s="3" t="s">
        <v>21</v>
      </c>
      <c r="E973" s="5" t="n">
        <v>623.33</v>
      </c>
      <c r="F973" s="3" t="s">
        <v>21</v>
      </c>
      <c r="G973" s="5" t="n">
        <v>623.33</v>
      </c>
      <c r="H973" s="5" t="n">
        <f aca="false">ROUND(ABS(G973)-ABS(E973),2)</f>
        <v>0</v>
      </c>
      <c r="I973" s="3" t="s">
        <v>904</v>
      </c>
      <c r="J973" s="3"/>
      <c r="K973" s="3"/>
      <c r="L973" s="3" t="s">
        <v>905</v>
      </c>
      <c r="M973" s="3" t="s">
        <v>907</v>
      </c>
      <c r="N973" s="3"/>
    </row>
    <row r="974" customFormat="false" ht="34.5" hidden="false" customHeight="true" outlineLevel="0" collapsed="false">
      <c r="A974" s="3" t="s">
        <v>901</v>
      </c>
      <c r="B974" s="3" t="s">
        <v>901</v>
      </c>
      <c r="C974" s="4" t="s">
        <v>15</v>
      </c>
      <c r="D974" s="3" t="s">
        <v>24</v>
      </c>
      <c r="E974" s="5" t="n">
        <v>2116.86</v>
      </c>
      <c r="F974" s="3" t="s">
        <v>24</v>
      </c>
      <c r="G974" s="5" t="n">
        <v>2116.86</v>
      </c>
      <c r="H974" s="5" t="n">
        <f aca="false">ROUND(ABS(G974)-ABS(E974),2)</f>
        <v>0</v>
      </c>
      <c r="I974" s="3" t="s">
        <v>904</v>
      </c>
      <c r="J974" s="3"/>
      <c r="K974" s="3"/>
      <c r="L974" s="3" t="s">
        <v>905</v>
      </c>
      <c r="M974" s="3" t="s">
        <v>908</v>
      </c>
      <c r="N974" s="3"/>
    </row>
    <row r="975" customFormat="false" ht="34.5" hidden="false" customHeight="true" outlineLevel="0" collapsed="false">
      <c r="A975" s="3" t="s">
        <v>901</v>
      </c>
      <c r="B975" s="3" t="s">
        <v>901</v>
      </c>
      <c r="C975" s="7" t="s">
        <v>37</v>
      </c>
      <c r="D975" s="3" t="s">
        <v>25</v>
      </c>
      <c r="E975" s="5" t="n">
        <v>56.1</v>
      </c>
      <c r="F975" s="3" t="s">
        <v>25</v>
      </c>
      <c r="G975" s="5" t="n">
        <v>364.1</v>
      </c>
      <c r="H975" s="5" t="n">
        <f aca="false">ROUND(ABS(G975)-ABS(E975),2)</f>
        <v>308</v>
      </c>
      <c r="I975" s="3" t="s">
        <v>904</v>
      </c>
      <c r="J975" s="3"/>
      <c r="K975" s="3"/>
      <c r="L975" s="3" t="s">
        <v>909</v>
      </c>
      <c r="M975" s="3" t="s">
        <v>910</v>
      </c>
      <c r="N975" s="3" t="s">
        <v>62</v>
      </c>
    </row>
    <row r="976" customFormat="false" ht="23.25" hidden="false" customHeight="true" outlineLevel="0" collapsed="false">
      <c r="A976" s="3" t="s">
        <v>901</v>
      </c>
      <c r="B976" s="3" t="s">
        <v>901</v>
      </c>
      <c r="C976" s="7" t="s">
        <v>37</v>
      </c>
      <c r="D976" s="3" t="s">
        <v>29</v>
      </c>
      <c r="E976" s="5" t="s">
        <v>37</v>
      </c>
      <c r="F976" s="3" t="s">
        <v>29</v>
      </c>
      <c r="G976" s="5" t="s">
        <v>37</v>
      </c>
      <c r="H976" s="5" t="s">
        <v>37</v>
      </c>
      <c r="I976" s="3" t="s">
        <v>904</v>
      </c>
      <c r="J976" s="3" t="s">
        <v>38</v>
      </c>
      <c r="K976" s="3"/>
      <c r="L976" s="3" t="s">
        <v>39</v>
      </c>
      <c r="M976" s="3"/>
      <c r="N976" s="3" t="s">
        <v>40</v>
      </c>
    </row>
    <row r="977" customFormat="false" ht="34.5" hidden="false" customHeight="true" outlineLevel="0" collapsed="false">
      <c r="A977" s="3" t="s">
        <v>901</v>
      </c>
      <c r="B977" s="3" t="s">
        <v>901</v>
      </c>
      <c r="C977" s="4" t="s">
        <v>15</v>
      </c>
      <c r="D977" s="3" t="s">
        <v>16</v>
      </c>
      <c r="E977" s="5" t="n">
        <v>3700</v>
      </c>
      <c r="F977" s="3" t="s">
        <v>16</v>
      </c>
      <c r="G977" s="5" t="n">
        <v>3700</v>
      </c>
      <c r="H977" s="5" t="n">
        <f aca="false">ROUND(ABS(G977)-ABS(E977),2)</f>
        <v>0</v>
      </c>
      <c r="I977" s="3" t="s">
        <v>911</v>
      </c>
      <c r="J977" s="3"/>
      <c r="K977" s="3"/>
      <c r="L977" s="3" t="s">
        <v>905</v>
      </c>
      <c r="M977" s="3" t="s">
        <v>912</v>
      </c>
      <c r="N977" s="3"/>
    </row>
    <row r="978" customFormat="false" ht="34.5" hidden="false" customHeight="true" outlineLevel="0" collapsed="false">
      <c r="A978" s="3" t="s">
        <v>901</v>
      </c>
      <c r="B978" s="3" t="s">
        <v>901</v>
      </c>
      <c r="C978" s="4" t="s">
        <v>15</v>
      </c>
      <c r="D978" s="3" t="s">
        <v>21</v>
      </c>
      <c r="E978" s="5" t="n">
        <v>642.77</v>
      </c>
      <c r="F978" s="3" t="s">
        <v>21</v>
      </c>
      <c r="G978" s="5" t="n">
        <v>642.77</v>
      </c>
      <c r="H978" s="5" t="n">
        <f aca="false">ROUND(ABS(G978)-ABS(E978),2)</f>
        <v>0</v>
      </c>
      <c r="I978" s="3" t="s">
        <v>911</v>
      </c>
      <c r="J978" s="3"/>
      <c r="K978" s="3"/>
      <c r="L978" s="3" t="s">
        <v>905</v>
      </c>
      <c r="M978" s="3" t="s">
        <v>913</v>
      </c>
      <c r="N978" s="3"/>
    </row>
    <row r="979" customFormat="false" ht="34.5" hidden="false" customHeight="true" outlineLevel="0" collapsed="false">
      <c r="A979" s="3" t="s">
        <v>901</v>
      </c>
      <c r="B979" s="3" t="s">
        <v>901</v>
      </c>
      <c r="C979" s="4" t="s">
        <v>15</v>
      </c>
      <c r="D979" s="3" t="s">
        <v>24</v>
      </c>
      <c r="E979" s="5" t="n">
        <v>2127.14</v>
      </c>
      <c r="F979" s="3" t="s">
        <v>24</v>
      </c>
      <c r="G979" s="5" t="n">
        <v>2127.14</v>
      </c>
      <c r="H979" s="5" t="n">
        <f aca="false">ROUND(ABS(G979)-ABS(E979),2)</f>
        <v>0</v>
      </c>
      <c r="I979" s="3" t="s">
        <v>911</v>
      </c>
      <c r="J979" s="3"/>
      <c r="K979" s="3"/>
      <c r="L979" s="3" t="s">
        <v>905</v>
      </c>
      <c r="M979" s="3" t="s">
        <v>914</v>
      </c>
      <c r="N979" s="3"/>
    </row>
    <row r="980" customFormat="false" ht="34.5" hidden="false" customHeight="true" outlineLevel="0" collapsed="false">
      <c r="A980" s="3" t="s">
        <v>901</v>
      </c>
      <c r="B980" s="3" t="s">
        <v>901</v>
      </c>
      <c r="C980" s="7" t="s">
        <v>37</v>
      </c>
      <c r="D980" s="3" t="s">
        <v>25</v>
      </c>
      <c r="E980" s="5" t="n">
        <v>56.89</v>
      </c>
      <c r="F980" s="3" t="s">
        <v>25</v>
      </c>
      <c r="G980" s="5" t="n">
        <v>325.99</v>
      </c>
      <c r="H980" s="5" t="n">
        <f aca="false">ROUND(ABS(G980)-ABS(E980),2)</f>
        <v>269.1</v>
      </c>
      <c r="I980" s="3" t="s">
        <v>911</v>
      </c>
      <c r="J980" s="3"/>
      <c r="K980" s="3"/>
      <c r="L980" s="3" t="s">
        <v>909</v>
      </c>
      <c r="M980" s="3" t="s">
        <v>915</v>
      </c>
      <c r="N980" s="3" t="s">
        <v>62</v>
      </c>
    </row>
    <row r="981" customFormat="false" ht="23.25" hidden="false" customHeight="true" outlineLevel="0" collapsed="false">
      <c r="A981" s="3" t="s">
        <v>901</v>
      </c>
      <c r="B981" s="3" t="s">
        <v>901</v>
      </c>
      <c r="C981" s="7" t="s">
        <v>37</v>
      </c>
      <c r="D981" s="3" t="s">
        <v>29</v>
      </c>
      <c r="E981" s="5" t="s">
        <v>37</v>
      </c>
      <c r="F981" s="3" t="s">
        <v>29</v>
      </c>
      <c r="G981" s="5" t="s">
        <v>37</v>
      </c>
      <c r="H981" s="5" t="s">
        <v>37</v>
      </c>
      <c r="I981" s="3" t="s">
        <v>911</v>
      </c>
      <c r="J981" s="3" t="s">
        <v>38</v>
      </c>
      <c r="K981" s="3"/>
      <c r="L981" s="3" t="s">
        <v>39</v>
      </c>
      <c r="M981" s="3"/>
      <c r="N981" s="3" t="s">
        <v>40</v>
      </c>
    </row>
    <row r="982" customFormat="false" ht="15" hidden="false" customHeight="true" outlineLevel="0" collapsed="false">
      <c r="A982" s="3" t="s">
        <v>901</v>
      </c>
      <c r="B982" s="3" t="s">
        <v>901</v>
      </c>
      <c r="C982" s="7" t="s">
        <v>37</v>
      </c>
      <c r="D982" s="3" t="s">
        <v>25</v>
      </c>
      <c r="E982" s="5" t="n">
        <v>577.1</v>
      </c>
      <c r="F982" s="3" t="s">
        <v>25</v>
      </c>
      <c r="G982" s="5" t="s">
        <v>37</v>
      </c>
      <c r="H982" s="5" t="s">
        <v>37</v>
      </c>
      <c r="I982" s="3" t="s">
        <v>70</v>
      </c>
      <c r="J982" s="3" t="s">
        <v>71</v>
      </c>
      <c r="K982" s="3"/>
      <c r="L982" s="3" t="s">
        <v>72</v>
      </c>
      <c r="M982" s="3"/>
      <c r="N982" s="3" t="s">
        <v>73</v>
      </c>
    </row>
    <row r="983" customFormat="false" ht="75.75" hidden="false" customHeight="true" outlineLevel="0" collapsed="false">
      <c r="A983" s="8" t="s">
        <v>901</v>
      </c>
      <c r="B983" s="8" t="s">
        <v>901</v>
      </c>
      <c r="C983" s="8" t="s">
        <v>28</v>
      </c>
      <c r="D983" s="8" t="s">
        <v>47</v>
      </c>
      <c r="E983" s="8" t="s">
        <v>916</v>
      </c>
      <c r="F983" s="8" t="s">
        <v>47</v>
      </c>
      <c r="G983" s="8" t="s">
        <v>214</v>
      </c>
      <c r="H983" s="8"/>
      <c r="I983" s="8" t="s">
        <v>49</v>
      </c>
      <c r="J983" s="8" t="s">
        <v>214</v>
      </c>
      <c r="K983" s="8"/>
      <c r="L983" s="8" t="s">
        <v>902</v>
      </c>
      <c r="M983" s="8" t="s">
        <v>903</v>
      </c>
      <c r="N983" s="8" t="s">
        <v>50</v>
      </c>
    </row>
    <row r="984" customFormat="false" ht="23.25" hidden="false" customHeight="true" outlineLevel="0" collapsed="false">
      <c r="A984" s="3" t="s">
        <v>917</v>
      </c>
      <c r="B984" s="3" t="s">
        <v>917</v>
      </c>
      <c r="C984" s="4" t="s">
        <v>15</v>
      </c>
      <c r="D984" s="3" t="s">
        <v>16</v>
      </c>
      <c r="E984" s="5" t="n">
        <v>1500</v>
      </c>
      <c r="F984" s="3" t="s">
        <v>16</v>
      </c>
      <c r="G984" s="5" t="n">
        <v>1500</v>
      </c>
      <c r="H984" s="5" t="n">
        <f aca="false">ROUND(ABS(G984)-ABS(E984),2)</f>
        <v>0</v>
      </c>
      <c r="I984" s="3" t="s">
        <v>17</v>
      </c>
      <c r="J984" s="3" t="s">
        <v>214</v>
      </c>
      <c r="K984" s="3"/>
      <c r="L984" s="3" t="s">
        <v>918</v>
      </c>
      <c r="M984" s="3" t="s">
        <v>919</v>
      </c>
      <c r="N984" s="3"/>
    </row>
    <row r="985" customFormat="false" ht="23.25" hidden="false" customHeight="true" outlineLevel="0" collapsed="false">
      <c r="A985" s="3" t="s">
        <v>917</v>
      </c>
      <c r="B985" s="3" t="s">
        <v>917</v>
      </c>
      <c r="C985" s="4" t="s">
        <v>15</v>
      </c>
      <c r="D985" s="3" t="s">
        <v>21</v>
      </c>
      <c r="E985" s="5" t="n">
        <v>0</v>
      </c>
      <c r="F985" s="3" t="s">
        <v>21</v>
      </c>
      <c r="G985" s="5" t="n">
        <v>0</v>
      </c>
      <c r="H985" s="5" t="n">
        <f aca="false">ROUND(ABS(G985)-ABS(E985),2)</f>
        <v>0</v>
      </c>
      <c r="I985" s="3" t="s">
        <v>17</v>
      </c>
      <c r="J985" s="3" t="s">
        <v>214</v>
      </c>
      <c r="K985" s="3"/>
      <c r="L985" s="3" t="s">
        <v>918</v>
      </c>
      <c r="M985" s="3" t="s">
        <v>919</v>
      </c>
      <c r="N985" s="3"/>
    </row>
    <row r="986" customFormat="false" ht="23.25" hidden="false" customHeight="true" outlineLevel="0" collapsed="false">
      <c r="A986" s="3" t="s">
        <v>917</v>
      </c>
      <c r="B986" s="3" t="s">
        <v>917</v>
      </c>
      <c r="C986" s="4" t="s">
        <v>15</v>
      </c>
      <c r="D986" s="3" t="s">
        <v>22</v>
      </c>
      <c r="E986" s="5" t="n">
        <v>0</v>
      </c>
      <c r="F986" s="3" t="s">
        <v>22</v>
      </c>
      <c r="G986" s="5" t="n">
        <v>0</v>
      </c>
      <c r="H986" s="5" t="n">
        <f aca="false">ROUND(ABS(G986)-ABS(E986),2)</f>
        <v>0</v>
      </c>
      <c r="I986" s="3" t="s">
        <v>17</v>
      </c>
      <c r="J986" s="3" t="s">
        <v>214</v>
      </c>
      <c r="K986" s="3"/>
      <c r="L986" s="3" t="s">
        <v>918</v>
      </c>
      <c r="M986" s="3" t="s">
        <v>919</v>
      </c>
      <c r="N986" s="3" t="s">
        <v>23</v>
      </c>
    </row>
    <row r="987" customFormat="false" ht="23.25" hidden="false" customHeight="true" outlineLevel="0" collapsed="false">
      <c r="A987" s="3" t="s">
        <v>917</v>
      </c>
      <c r="B987" s="3" t="s">
        <v>917</v>
      </c>
      <c r="C987" s="4" t="s">
        <v>15</v>
      </c>
      <c r="D987" s="3" t="s">
        <v>24</v>
      </c>
      <c r="E987" s="5" t="n">
        <v>0</v>
      </c>
      <c r="F987" s="3" t="s">
        <v>24</v>
      </c>
      <c r="G987" s="5" t="n">
        <v>0</v>
      </c>
      <c r="H987" s="5" t="n">
        <f aca="false">ROUND(ABS(G987)-ABS(E987),2)</f>
        <v>0</v>
      </c>
      <c r="I987" s="3" t="s">
        <v>17</v>
      </c>
      <c r="J987" s="3" t="s">
        <v>214</v>
      </c>
      <c r="K987" s="3"/>
      <c r="L987" s="3" t="s">
        <v>918</v>
      </c>
      <c r="M987" s="3" t="s">
        <v>919</v>
      </c>
      <c r="N987" s="3"/>
    </row>
    <row r="988" customFormat="false" ht="23.25" hidden="false" customHeight="true" outlineLevel="0" collapsed="false">
      <c r="A988" s="3" t="s">
        <v>917</v>
      </c>
      <c r="B988" s="3" t="s">
        <v>917</v>
      </c>
      <c r="C988" s="4" t="s">
        <v>15</v>
      </c>
      <c r="D988" s="3" t="s">
        <v>25</v>
      </c>
      <c r="E988" s="5" t="n">
        <v>0</v>
      </c>
      <c r="F988" s="3" t="s">
        <v>25</v>
      </c>
      <c r="G988" s="5" t="n">
        <v>0</v>
      </c>
      <c r="H988" s="5" t="n">
        <f aca="false">ROUND(ABS(G988)-ABS(E988),2)</f>
        <v>0</v>
      </c>
      <c r="I988" s="3" t="s">
        <v>17</v>
      </c>
      <c r="J988" s="3" t="s">
        <v>214</v>
      </c>
      <c r="K988" s="3"/>
      <c r="L988" s="3" t="s">
        <v>918</v>
      </c>
      <c r="M988" s="3" t="s">
        <v>919</v>
      </c>
      <c r="N988" s="3"/>
    </row>
    <row r="989" customFormat="false" ht="23.25" hidden="false" customHeight="true" outlineLevel="0" collapsed="false">
      <c r="A989" s="3" t="s">
        <v>917</v>
      </c>
      <c r="B989" s="3" t="s">
        <v>917</v>
      </c>
      <c r="C989" s="4" t="s">
        <v>15</v>
      </c>
      <c r="D989" s="3" t="s">
        <v>26</v>
      </c>
      <c r="E989" s="5" t="n">
        <v>0</v>
      </c>
      <c r="F989" s="3" t="s">
        <v>26</v>
      </c>
      <c r="G989" s="5" t="n">
        <v>0</v>
      </c>
      <c r="H989" s="5" t="n">
        <f aca="false">ROUND(ABS(G989)-ABS(E989),2)</f>
        <v>0</v>
      </c>
      <c r="I989" s="3" t="s">
        <v>17</v>
      </c>
      <c r="J989" s="3" t="s">
        <v>214</v>
      </c>
      <c r="K989" s="3"/>
      <c r="L989" s="3" t="s">
        <v>918</v>
      </c>
      <c r="M989" s="3" t="s">
        <v>919</v>
      </c>
      <c r="N989" s="3" t="s">
        <v>27</v>
      </c>
    </row>
    <row r="990" customFormat="false" ht="23.25" hidden="false" customHeight="true" outlineLevel="0" collapsed="false">
      <c r="A990" s="3" t="s">
        <v>917</v>
      </c>
      <c r="B990" s="3" t="s">
        <v>917</v>
      </c>
      <c r="C990" s="6" t="s">
        <v>28</v>
      </c>
      <c r="D990" s="3" t="s">
        <v>29</v>
      </c>
      <c r="E990" s="5" t="n">
        <v>1500</v>
      </c>
      <c r="F990" s="3" t="s">
        <v>29</v>
      </c>
      <c r="G990" s="5" t="n">
        <v>0</v>
      </c>
      <c r="H990" s="5" t="n">
        <f aca="false">ROUND(ABS(G990)-ABS(E990),2)</f>
        <v>-1500</v>
      </c>
      <c r="I990" s="3" t="s">
        <v>17</v>
      </c>
      <c r="J990" s="3" t="s">
        <v>214</v>
      </c>
      <c r="K990" s="3"/>
      <c r="L990" s="3" t="s">
        <v>918</v>
      </c>
      <c r="M990" s="3" t="s">
        <v>919</v>
      </c>
      <c r="N990" s="3" t="s">
        <v>30</v>
      </c>
    </row>
    <row r="991" customFormat="false" ht="34.5" hidden="false" customHeight="true" outlineLevel="0" collapsed="false">
      <c r="A991" s="3" t="s">
        <v>917</v>
      </c>
      <c r="B991" s="3" t="s">
        <v>917</v>
      </c>
      <c r="C991" s="4" t="s">
        <v>15</v>
      </c>
      <c r="D991" s="3" t="s">
        <v>16</v>
      </c>
      <c r="E991" s="5" t="n">
        <v>1500</v>
      </c>
      <c r="F991" s="3" t="s">
        <v>16</v>
      </c>
      <c r="G991" s="5" t="n">
        <v>1500</v>
      </c>
      <c r="H991" s="5" t="n">
        <f aca="false">ROUND(ABS(G991)-ABS(E991),2)</f>
        <v>0</v>
      </c>
      <c r="I991" s="3" t="s">
        <v>920</v>
      </c>
      <c r="J991" s="3"/>
      <c r="K991" s="3"/>
      <c r="L991" s="3" t="s">
        <v>921</v>
      </c>
      <c r="M991" s="3" t="s">
        <v>922</v>
      </c>
      <c r="N991" s="3"/>
    </row>
    <row r="992" customFormat="false" ht="34.5" hidden="false" customHeight="true" outlineLevel="0" collapsed="false">
      <c r="A992" s="3" t="s">
        <v>917</v>
      </c>
      <c r="B992" s="3" t="s">
        <v>917</v>
      </c>
      <c r="C992" s="4" t="s">
        <v>15</v>
      </c>
      <c r="D992" s="3" t="s">
        <v>21</v>
      </c>
      <c r="E992" s="5" t="n">
        <v>0</v>
      </c>
      <c r="F992" s="3" t="s">
        <v>21</v>
      </c>
      <c r="G992" s="5" t="n">
        <v>0</v>
      </c>
      <c r="H992" s="5" t="n">
        <f aca="false">ROUND(ABS(G992)-ABS(E992),2)</f>
        <v>0</v>
      </c>
      <c r="I992" s="3" t="s">
        <v>920</v>
      </c>
      <c r="J992" s="3"/>
      <c r="K992" s="3"/>
      <c r="L992" s="3" t="s">
        <v>921</v>
      </c>
      <c r="M992" s="3"/>
      <c r="N992" s="3"/>
    </row>
    <row r="993" customFormat="false" ht="23.25" hidden="false" customHeight="true" outlineLevel="0" collapsed="false">
      <c r="A993" s="3" t="s">
        <v>917</v>
      </c>
      <c r="B993" s="3" t="s">
        <v>917</v>
      </c>
      <c r="C993" s="7" t="s">
        <v>37</v>
      </c>
      <c r="D993" s="3" t="s">
        <v>29</v>
      </c>
      <c r="E993" s="5" t="s">
        <v>37</v>
      </c>
      <c r="F993" s="3" t="s">
        <v>29</v>
      </c>
      <c r="G993" s="5" t="s">
        <v>37</v>
      </c>
      <c r="H993" s="5" t="s">
        <v>37</v>
      </c>
      <c r="I993" s="3" t="s">
        <v>920</v>
      </c>
      <c r="J993" s="3" t="s">
        <v>38</v>
      </c>
      <c r="K993" s="3"/>
      <c r="L993" s="3" t="s">
        <v>39</v>
      </c>
      <c r="M993" s="3"/>
      <c r="N993" s="3" t="s">
        <v>40</v>
      </c>
    </row>
    <row r="994" customFormat="false" ht="75.75" hidden="false" customHeight="true" outlineLevel="0" collapsed="false">
      <c r="A994" s="8" t="s">
        <v>917</v>
      </c>
      <c r="B994" s="8" t="s">
        <v>917</v>
      </c>
      <c r="C994" s="8" t="s">
        <v>28</v>
      </c>
      <c r="D994" s="8" t="s">
        <v>47</v>
      </c>
      <c r="E994" s="8" t="s">
        <v>923</v>
      </c>
      <c r="F994" s="8" t="s">
        <v>47</v>
      </c>
      <c r="G994" s="8" t="s">
        <v>214</v>
      </c>
      <c r="H994" s="8"/>
      <c r="I994" s="8" t="s">
        <v>49</v>
      </c>
      <c r="J994" s="8" t="s">
        <v>214</v>
      </c>
      <c r="K994" s="8"/>
      <c r="L994" s="8" t="s">
        <v>918</v>
      </c>
      <c r="M994" s="8" t="s">
        <v>919</v>
      </c>
      <c r="N994" s="8" t="s">
        <v>50</v>
      </c>
    </row>
    <row r="995" customFormat="false" ht="23.25" hidden="false" customHeight="true" outlineLevel="0" collapsed="false">
      <c r="A995" s="3"/>
      <c r="B995" s="3"/>
      <c r="C995" s="3"/>
      <c r="D995" s="3" t="s">
        <v>924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customFormat="false" ht="15" hidden="false" customHeight="true" outlineLevel="0" collapsed="false">
      <c r="A996" s="3"/>
      <c r="B996" s="3"/>
      <c r="C996" s="3"/>
      <c r="D996" s="3" t="s">
        <v>925</v>
      </c>
      <c r="E996" s="3" t="s">
        <v>926</v>
      </c>
      <c r="F996" s="3" t="s">
        <v>927</v>
      </c>
      <c r="G996" s="3" t="s">
        <v>928</v>
      </c>
      <c r="H996" s="3"/>
      <c r="I996" s="3"/>
      <c r="J996" s="3"/>
      <c r="K996" s="3"/>
      <c r="L996" s="3"/>
      <c r="M996" s="3"/>
      <c r="N996" s="3"/>
    </row>
    <row r="997" customFormat="false" ht="23.25" hidden="false" customHeight="true" outlineLevel="0" collapsed="false">
      <c r="A997" s="3"/>
      <c r="B997" s="3"/>
      <c r="C997" s="3"/>
      <c r="D997" s="3" t="s">
        <v>214</v>
      </c>
      <c r="E997" s="5" t="n">
        <v>48</v>
      </c>
      <c r="F997" s="3" t="s">
        <v>929</v>
      </c>
      <c r="G997" s="5" t="n">
        <v>22537.08</v>
      </c>
      <c r="H997" s="3"/>
      <c r="I997" s="3"/>
      <c r="J997" s="3"/>
      <c r="K997" s="3"/>
      <c r="L997" s="3"/>
      <c r="M997" s="3"/>
      <c r="N997" s="3"/>
    </row>
    <row r="998" customFormat="false" ht="34.5" hidden="false" customHeight="true" outlineLevel="0" collapsed="false">
      <c r="A998" s="3"/>
      <c r="B998" s="3"/>
      <c r="C998" s="3"/>
      <c r="D998" s="3" t="s">
        <v>45</v>
      </c>
      <c r="E998" s="5" t="n">
        <v>20</v>
      </c>
      <c r="F998" s="3" t="s">
        <v>930</v>
      </c>
      <c r="G998" s="5" t="n">
        <v>1188.44</v>
      </c>
      <c r="H998" s="3"/>
      <c r="I998" s="3"/>
      <c r="J998" s="3"/>
      <c r="K998" s="3"/>
      <c r="L998" s="3"/>
      <c r="M998" s="3"/>
      <c r="N998" s="3"/>
    </row>
    <row r="999" customFormat="false" ht="23.25" hidden="false" customHeight="true" outlineLevel="0" collapsed="false">
      <c r="A999" s="3"/>
      <c r="B999" s="3"/>
      <c r="C999" s="3"/>
      <c r="D999" s="3" t="s">
        <v>931</v>
      </c>
      <c r="E999" s="5" t="n">
        <v>3</v>
      </c>
      <c r="F999" s="3" t="s">
        <v>932</v>
      </c>
      <c r="G999" s="5" t="n">
        <v>12150</v>
      </c>
      <c r="H999" s="3"/>
      <c r="I999" s="3"/>
      <c r="J999" s="3"/>
      <c r="K999" s="3"/>
      <c r="L999" s="3"/>
      <c r="M999" s="3"/>
      <c r="N999" s="3"/>
    </row>
    <row r="1000" customFormat="false" ht="15" hidden="false" customHeight="true" outlineLevel="0" collapsed="false">
      <c r="A1000" s="3"/>
      <c r="B1000" s="3"/>
      <c r="C1000" s="3"/>
      <c r="D1000" s="3" t="s">
        <v>933</v>
      </c>
      <c r="E1000" s="9" t="n">
        <v>0</v>
      </c>
      <c r="F1000" s="3" t="s">
        <v>934</v>
      </c>
      <c r="G1000" s="5" t="n">
        <v>0</v>
      </c>
      <c r="H1000" s="3"/>
      <c r="I1000" s="3"/>
      <c r="J1000" s="3"/>
      <c r="K1000" s="3"/>
      <c r="L1000" s="3"/>
      <c r="M1000" s="3"/>
      <c r="N1000" s="3"/>
    </row>
    <row r="1001" customFormat="false" ht="23.25" hidden="false" customHeight="true" outlineLevel="0" collapsed="false">
      <c r="A1001" s="3"/>
      <c r="B1001" s="3"/>
      <c r="C1001" s="3"/>
      <c r="D1001" s="3" t="s">
        <v>935</v>
      </c>
      <c r="E1001" s="9" t="n">
        <v>0</v>
      </c>
      <c r="F1001" s="3" t="s">
        <v>936</v>
      </c>
      <c r="G1001" s="5" t="n">
        <v>0</v>
      </c>
      <c r="H1001" s="3"/>
      <c r="I1001" s="3"/>
      <c r="J1001" s="3"/>
      <c r="K1001" s="3"/>
      <c r="L1001" s="3"/>
      <c r="M1001" s="3"/>
      <c r="N1001" s="3"/>
    </row>
    <row r="1002" customFormat="false" ht="23.25" hidden="false" customHeight="true" outlineLevel="0" collapsed="false">
      <c r="A1002" s="3"/>
      <c r="B1002" s="3"/>
      <c r="C1002" s="3"/>
      <c r="D1002" s="3" t="s">
        <v>937</v>
      </c>
      <c r="E1002" s="3" t="s">
        <v>926</v>
      </c>
      <c r="F1002" s="3"/>
      <c r="G1002" s="3" t="s">
        <v>938</v>
      </c>
      <c r="H1002" s="3"/>
      <c r="I1002" s="3"/>
      <c r="J1002" s="3"/>
      <c r="K1002" s="3"/>
      <c r="L1002" s="3"/>
      <c r="M1002" s="3"/>
      <c r="N1002" s="3"/>
    </row>
    <row r="1003" customFormat="false" ht="15" hidden="false" customHeight="true" outlineLevel="0" collapsed="false">
      <c r="A1003" s="3"/>
      <c r="B1003" s="3"/>
      <c r="C1003" s="3"/>
      <c r="D1003" s="3" t="s">
        <v>16</v>
      </c>
      <c r="E1003" s="9" t="n">
        <v>4</v>
      </c>
      <c r="F1003" s="3"/>
      <c r="G1003" s="5" t="n">
        <v>13500</v>
      </c>
      <c r="H1003" s="3"/>
      <c r="I1003" s="3"/>
      <c r="J1003" s="3"/>
      <c r="K1003" s="3"/>
      <c r="L1003" s="3"/>
      <c r="M1003" s="3"/>
      <c r="N1003" s="3"/>
    </row>
    <row r="1004" customFormat="false" ht="15" hidden="false" customHeight="true" outlineLevel="0" collapsed="false">
      <c r="A1004" s="3"/>
      <c r="B1004" s="3"/>
      <c r="C1004" s="3"/>
      <c r="D1004" s="3" t="s">
        <v>24</v>
      </c>
      <c r="E1004" s="9" t="n">
        <v>2</v>
      </c>
      <c r="F1004" s="3"/>
      <c r="G1004" s="5" t="n">
        <v>4622.99</v>
      </c>
      <c r="H1004" s="3"/>
      <c r="I1004" s="3"/>
      <c r="J1004" s="3"/>
      <c r="K1004" s="3"/>
      <c r="L1004" s="3"/>
      <c r="M1004" s="3"/>
      <c r="N1004" s="3"/>
    </row>
    <row r="1005" customFormat="false" ht="15" hidden="false" customHeight="true" outlineLevel="0" collapsed="false">
      <c r="A1005" s="3"/>
      <c r="B1005" s="3"/>
      <c r="C1005" s="3"/>
      <c r="D1005" s="3" t="s">
        <v>25</v>
      </c>
      <c r="E1005" s="9" t="n">
        <v>12</v>
      </c>
      <c r="F1005" s="3"/>
      <c r="G1005" s="5" t="n">
        <v>2386.62</v>
      </c>
      <c r="H1005" s="3"/>
      <c r="I1005" s="3"/>
      <c r="J1005" s="3"/>
      <c r="K1005" s="3"/>
      <c r="L1005" s="3"/>
      <c r="M1005" s="3"/>
      <c r="N1005" s="3"/>
    </row>
    <row r="1006" customFormat="false" ht="15" hidden="false" customHeight="true" outlineLevel="0" collapsed="false">
      <c r="A1006" s="3"/>
      <c r="B1006" s="3"/>
      <c r="C1006" s="3"/>
      <c r="D1006" s="3" t="s">
        <v>21</v>
      </c>
      <c r="E1006" s="9" t="n">
        <v>2</v>
      </c>
      <c r="F1006" s="3"/>
      <c r="G1006" s="5" t="n">
        <v>2027.47</v>
      </c>
      <c r="H1006" s="3"/>
      <c r="I1006" s="3"/>
      <c r="J1006" s="3"/>
      <c r="K1006" s="3"/>
      <c r="L1006" s="3"/>
      <c r="M1006" s="3"/>
      <c r="N1006" s="3"/>
    </row>
    <row r="1007" customFormat="false" ht="23.25" hidden="false" customHeight="true" outlineLevel="0" collapsed="false">
      <c r="A1007" s="3"/>
      <c r="B1007" s="3"/>
      <c r="C1007" s="3"/>
      <c r="D1007" s="3" t="s">
        <v>939</v>
      </c>
      <c r="E1007" s="9" t="n">
        <v>48</v>
      </c>
      <c r="F1007" s="3" t="s">
        <v>940</v>
      </c>
      <c r="G1007" s="5" t="n">
        <v>96516.32</v>
      </c>
      <c r="H1007" s="3"/>
      <c r="I1007" s="3"/>
      <c r="J1007" s="3"/>
      <c r="K1007" s="3"/>
      <c r="L1007" s="3"/>
      <c r="M1007" s="3"/>
      <c r="N1007" s="3"/>
    </row>
    <row r="1008" customFormat="false" ht="23.25" hidden="false" customHeight="true" outlineLevel="0" collapsed="false">
      <c r="A1008" s="3"/>
      <c r="B1008" s="3"/>
      <c r="C1008" s="3"/>
      <c r="D1008" s="3" t="s">
        <v>941</v>
      </c>
      <c r="E1008" s="9" t="n">
        <v>48</v>
      </c>
      <c r="F1008" s="3" t="s">
        <v>940</v>
      </c>
      <c r="G1008" s="5" t="n">
        <v>228159.78</v>
      </c>
      <c r="H1008" s="3"/>
      <c r="I1008" s="3"/>
      <c r="J1008" s="3"/>
      <c r="K1008" s="3"/>
      <c r="L1008" s="3"/>
      <c r="M1008" s="3"/>
      <c r="N1008" s="3"/>
    </row>
    <row r="1009" customFormat="false" ht="23.25" hidden="false" customHeight="true" outlineLevel="0" collapsed="false">
      <c r="A1009" s="3"/>
      <c r="B1009" s="3"/>
      <c r="C1009" s="3"/>
      <c r="D1009" s="3" t="s">
        <v>942</v>
      </c>
      <c r="E1009" s="9" t="n">
        <v>47</v>
      </c>
      <c r="F1009" s="3" t="s">
        <v>943</v>
      </c>
      <c r="G1009" s="5" t="n">
        <v>1452.47</v>
      </c>
      <c r="H1009" s="3"/>
      <c r="I1009" s="3"/>
      <c r="J1009" s="3"/>
      <c r="K1009" s="3"/>
      <c r="L1009" s="3"/>
      <c r="M1009" s="3"/>
      <c r="N1009" s="3"/>
    </row>
    <row r="1010" customFormat="false" ht="34.5" hidden="false" customHeight="true" outlineLevel="0" collapsed="false">
      <c r="A1010" s="3"/>
      <c r="B1010" s="3"/>
      <c r="C1010" s="3"/>
      <c r="D1010" s="3" t="s">
        <v>944</v>
      </c>
      <c r="E1010" s="3"/>
      <c r="F1010" s="3" t="s">
        <v>945</v>
      </c>
      <c r="G1010" s="3"/>
      <c r="H1010" s="3"/>
      <c r="I1010" s="3"/>
      <c r="J1010" s="3"/>
      <c r="K1010" s="3"/>
      <c r="L1010" s="3" t="s">
        <v>946</v>
      </c>
      <c r="M1010" s="3"/>
      <c r="N1010" s="3" t="s">
        <v>947</v>
      </c>
    </row>
    <row r="1011" customFormat="false" ht="15" hidden="false" customHeight="false" outlineLevel="0" collapsed="false">
      <c r="A1011" s="1" t="s">
        <v>948</v>
      </c>
      <c r="D1011" s="1" t="s">
        <v>949</v>
      </c>
    </row>
    <row r="1012" customFormat="false" ht="15" hidden="false" customHeight="false" outlineLevel="0" collapsed="false">
      <c r="A1012" s="1" t="s">
        <v>948</v>
      </c>
      <c r="D1012" s="1" t="s">
        <v>949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9"/>
    <col collapsed="false" customWidth="true" hidden="false" outlineLevel="0" max="4" min="4" style="1" width="24"/>
    <col collapsed="false" customWidth="true" hidden="false" outlineLevel="0" max="6" min="5" style="1" width="22"/>
    <col collapsed="false" customWidth="true" hidden="false" outlineLevel="0" max="7" min="7" style="1" width="60"/>
  </cols>
  <sheetData>
    <row r="1" customFormat="false" ht="15" hidden="false" customHeight="true" outlineLevel="0" collapsed="false">
      <c r="A1" s="10" t="s">
        <v>0</v>
      </c>
      <c r="B1" s="10" t="s">
        <v>1</v>
      </c>
      <c r="C1" s="10" t="s">
        <v>950</v>
      </c>
      <c r="D1" s="10" t="s">
        <v>951</v>
      </c>
      <c r="E1" s="10" t="s">
        <v>4</v>
      </c>
      <c r="F1" s="10" t="s">
        <v>6</v>
      </c>
      <c r="G1" s="10" t="s">
        <v>952</v>
      </c>
    </row>
    <row r="2" customFormat="false" ht="15" hidden="false" customHeight="true" outlineLevel="0" collapsed="false">
      <c r="A2" s="1" t="s">
        <v>14</v>
      </c>
      <c r="B2" s="1" t="s">
        <v>14</v>
      </c>
      <c r="C2" s="11" t="s">
        <v>15</v>
      </c>
      <c r="D2" s="1" t="s">
        <v>953</v>
      </c>
      <c r="E2" s="1" t="s">
        <v>954</v>
      </c>
      <c r="F2" s="1" t="s">
        <v>954</v>
      </c>
    </row>
    <row r="3" customFormat="false" ht="15" hidden="false" customHeight="true" outlineLevel="0" collapsed="false">
      <c r="D3" s="1" t="s">
        <v>955</v>
      </c>
      <c r="E3" s="1" t="s">
        <v>956</v>
      </c>
      <c r="F3" s="1" t="s">
        <v>956</v>
      </c>
    </row>
    <row r="4" customFormat="false" ht="15" hidden="false" customHeight="true" outlineLevel="0" collapsed="false">
      <c r="D4" s="1" t="s">
        <v>957</v>
      </c>
      <c r="E4" s="1" t="s">
        <v>958</v>
      </c>
      <c r="F4" s="1" t="s">
        <v>958</v>
      </c>
    </row>
    <row r="5" customFormat="false" ht="15" hidden="false" customHeight="true" outlineLevel="0" collapsed="false">
      <c r="A5" s="12"/>
      <c r="B5" s="12"/>
      <c r="C5" s="12"/>
      <c r="D5" s="12" t="s">
        <v>47</v>
      </c>
      <c r="E5" s="12" t="s">
        <v>959</v>
      </c>
      <c r="F5" s="12"/>
      <c r="G5" s="12" t="s">
        <v>933</v>
      </c>
    </row>
    <row r="6" customFormat="false" ht="15" hidden="false" customHeight="true" outlineLevel="0" collapsed="false">
      <c r="A6" s="1" t="s">
        <v>51</v>
      </c>
      <c r="B6" s="1" t="s">
        <v>51</v>
      </c>
      <c r="C6" s="11" t="s">
        <v>15</v>
      </c>
      <c r="D6" s="1" t="s">
        <v>953</v>
      </c>
      <c r="E6" s="1" t="s">
        <v>960</v>
      </c>
      <c r="F6" s="1" t="s">
        <v>961</v>
      </c>
      <c r="G6" s="1" t="s">
        <v>962</v>
      </c>
    </row>
    <row r="7" customFormat="false" ht="15" hidden="false" customHeight="true" outlineLevel="0" collapsed="false">
      <c r="D7" s="1" t="s">
        <v>955</v>
      </c>
      <c r="E7" s="1" t="s">
        <v>963</v>
      </c>
      <c r="F7" s="1" t="s">
        <v>963</v>
      </c>
    </row>
    <row r="8" customFormat="false" ht="15" hidden="false" customHeight="true" outlineLevel="0" collapsed="false">
      <c r="D8" s="1" t="s">
        <v>957</v>
      </c>
      <c r="E8" s="1" t="s">
        <v>964</v>
      </c>
      <c r="F8" s="1" t="s">
        <v>964</v>
      </c>
    </row>
    <row r="9" customFormat="false" ht="15" hidden="false" customHeight="true" outlineLevel="0" collapsed="false">
      <c r="A9" s="13"/>
      <c r="B9" s="13"/>
      <c r="C9" s="13"/>
      <c r="D9" s="13" t="s">
        <v>47</v>
      </c>
      <c r="E9" s="13" t="s">
        <v>965</v>
      </c>
      <c r="F9" s="13"/>
      <c r="G9" s="13" t="s">
        <v>966</v>
      </c>
    </row>
    <row r="10" customFormat="false" ht="15" hidden="false" customHeight="true" outlineLevel="0" collapsed="false">
      <c r="A10" s="1" t="s">
        <v>75</v>
      </c>
      <c r="B10" s="1" t="s">
        <v>75</v>
      </c>
      <c r="C10" s="11" t="s">
        <v>15</v>
      </c>
      <c r="D10" s="1" t="s">
        <v>953</v>
      </c>
      <c r="E10" s="1" t="s">
        <v>967</v>
      </c>
      <c r="F10" s="1" t="s">
        <v>968</v>
      </c>
      <c r="G10" s="1" t="s">
        <v>969</v>
      </c>
    </row>
    <row r="11" customFormat="false" ht="15" hidden="false" customHeight="true" outlineLevel="0" collapsed="false">
      <c r="D11" s="1" t="s">
        <v>955</v>
      </c>
      <c r="E11" s="1" t="s">
        <v>963</v>
      </c>
      <c r="F11" s="1" t="s">
        <v>963</v>
      </c>
    </row>
    <row r="12" customFormat="false" ht="15" hidden="false" customHeight="true" outlineLevel="0" collapsed="false">
      <c r="D12" s="1" t="s">
        <v>957</v>
      </c>
      <c r="E12" s="1" t="s">
        <v>970</v>
      </c>
      <c r="F12" s="1" t="s">
        <v>970</v>
      </c>
    </row>
    <row r="13" customFormat="false" ht="15" hidden="false" customHeight="true" outlineLevel="0" collapsed="false">
      <c r="A13" s="13"/>
      <c r="B13" s="13"/>
      <c r="C13" s="13"/>
      <c r="D13" s="13" t="s">
        <v>47</v>
      </c>
      <c r="E13" s="13" t="s">
        <v>971</v>
      </c>
      <c r="F13" s="13"/>
      <c r="G13" s="13" t="s">
        <v>966</v>
      </c>
    </row>
    <row r="14" customFormat="false" ht="15" hidden="false" customHeight="true" outlineLevel="0" collapsed="false">
      <c r="A14" s="1" t="s">
        <v>92</v>
      </c>
      <c r="B14" s="1" t="s">
        <v>92</v>
      </c>
      <c r="C14" s="11" t="s">
        <v>15</v>
      </c>
      <c r="D14" s="1" t="s">
        <v>953</v>
      </c>
      <c r="E14" s="1" t="s">
        <v>972</v>
      </c>
      <c r="F14" s="1" t="s">
        <v>973</v>
      </c>
      <c r="G14" s="1" t="s">
        <v>962</v>
      </c>
    </row>
    <row r="15" customFormat="false" ht="15" hidden="false" customHeight="true" outlineLevel="0" collapsed="false">
      <c r="D15" s="1" t="s">
        <v>955</v>
      </c>
      <c r="E15" s="1" t="s">
        <v>974</v>
      </c>
      <c r="F15" s="1" t="s">
        <v>974</v>
      </c>
    </row>
    <row r="16" customFormat="false" ht="15" hidden="false" customHeight="true" outlineLevel="0" collapsed="false">
      <c r="D16" s="1" t="s">
        <v>957</v>
      </c>
      <c r="E16" s="1" t="s">
        <v>975</v>
      </c>
      <c r="F16" s="1" t="s">
        <v>975</v>
      </c>
    </row>
    <row r="17" customFormat="false" ht="15" hidden="false" customHeight="true" outlineLevel="0" collapsed="false">
      <c r="A17" s="13"/>
      <c r="B17" s="13"/>
      <c r="C17" s="13"/>
      <c r="D17" s="13" t="s">
        <v>47</v>
      </c>
      <c r="E17" s="13" t="s">
        <v>976</v>
      </c>
      <c r="F17" s="13"/>
      <c r="G17" s="13" t="s">
        <v>966</v>
      </c>
    </row>
    <row r="18" customFormat="false" ht="15" hidden="false" customHeight="true" outlineLevel="0" collapsed="false">
      <c r="A18" s="1" t="s">
        <v>120</v>
      </c>
      <c r="B18" s="1" t="s">
        <v>120</v>
      </c>
      <c r="C18" s="11" t="s">
        <v>15</v>
      </c>
      <c r="D18" s="1" t="s">
        <v>953</v>
      </c>
      <c r="E18" s="1" t="s">
        <v>977</v>
      </c>
      <c r="F18" s="1" t="s">
        <v>977</v>
      </c>
    </row>
    <row r="19" customFormat="false" ht="15" hidden="false" customHeight="true" outlineLevel="0" collapsed="false">
      <c r="D19" s="1" t="s">
        <v>955</v>
      </c>
      <c r="E19" s="1" t="s">
        <v>956</v>
      </c>
      <c r="F19" s="1" t="s">
        <v>956</v>
      </c>
    </row>
    <row r="20" customFormat="false" ht="15" hidden="false" customHeight="true" outlineLevel="0" collapsed="false">
      <c r="D20" s="1" t="s">
        <v>957</v>
      </c>
      <c r="E20" s="1" t="s">
        <v>978</v>
      </c>
      <c r="F20" s="1" t="s">
        <v>978</v>
      </c>
    </row>
    <row r="21" customFormat="false" ht="15" hidden="false" customHeight="true" outlineLevel="0" collapsed="false">
      <c r="A21" s="12"/>
      <c r="B21" s="12"/>
      <c r="C21" s="12"/>
      <c r="D21" s="12" t="s">
        <v>47</v>
      </c>
      <c r="E21" s="12" t="s">
        <v>959</v>
      </c>
      <c r="F21" s="12"/>
      <c r="G21" s="12" t="s">
        <v>933</v>
      </c>
    </row>
    <row r="22" customFormat="false" ht="15" hidden="false" customHeight="true" outlineLevel="0" collapsed="false">
      <c r="A22" s="1" t="s">
        <v>135</v>
      </c>
      <c r="B22" s="1" t="s">
        <v>135</v>
      </c>
      <c r="C22" s="11" t="s">
        <v>15</v>
      </c>
      <c r="D22" s="1" t="s">
        <v>953</v>
      </c>
      <c r="E22" s="1" t="s">
        <v>979</v>
      </c>
      <c r="F22" s="1" t="s">
        <v>980</v>
      </c>
      <c r="G22" s="1" t="s">
        <v>981</v>
      </c>
    </row>
    <row r="23" customFormat="false" ht="15" hidden="false" customHeight="true" outlineLevel="0" collapsed="false">
      <c r="D23" s="1" t="s">
        <v>955</v>
      </c>
      <c r="E23" s="1" t="s">
        <v>956</v>
      </c>
      <c r="F23" s="1" t="s">
        <v>956</v>
      </c>
    </row>
    <row r="24" customFormat="false" ht="15" hidden="false" customHeight="true" outlineLevel="0" collapsed="false">
      <c r="D24" s="1" t="s">
        <v>957</v>
      </c>
      <c r="E24" s="1" t="s">
        <v>982</v>
      </c>
      <c r="F24" s="1" t="s">
        <v>982</v>
      </c>
    </row>
    <row r="25" customFormat="false" ht="15" hidden="false" customHeight="true" outlineLevel="0" collapsed="false">
      <c r="A25" s="13"/>
      <c r="B25" s="13"/>
      <c r="C25" s="13"/>
      <c r="D25" s="13" t="s">
        <v>47</v>
      </c>
      <c r="E25" s="13" t="s">
        <v>983</v>
      </c>
      <c r="F25" s="13"/>
      <c r="G25" s="13" t="s">
        <v>966</v>
      </c>
    </row>
    <row r="26" customFormat="false" ht="15" hidden="false" customHeight="true" outlineLevel="0" collapsed="false">
      <c r="A26" s="1" t="s">
        <v>153</v>
      </c>
      <c r="B26" s="1" t="s">
        <v>153</v>
      </c>
      <c r="C26" s="11" t="s">
        <v>15</v>
      </c>
      <c r="D26" s="1" t="s">
        <v>953</v>
      </c>
      <c r="E26" s="1" t="s">
        <v>984</v>
      </c>
      <c r="F26" s="1" t="s">
        <v>985</v>
      </c>
      <c r="G26" s="1" t="s">
        <v>962</v>
      </c>
    </row>
    <row r="27" customFormat="false" ht="15" hidden="false" customHeight="true" outlineLevel="0" collapsed="false">
      <c r="D27" s="1" t="s">
        <v>955</v>
      </c>
      <c r="E27" s="1" t="s">
        <v>986</v>
      </c>
      <c r="F27" s="1" t="s">
        <v>986</v>
      </c>
    </row>
    <row r="28" customFormat="false" ht="15" hidden="false" customHeight="true" outlineLevel="0" collapsed="false">
      <c r="D28" s="1" t="s">
        <v>957</v>
      </c>
      <c r="E28" s="1" t="s">
        <v>987</v>
      </c>
      <c r="F28" s="1" t="s">
        <v>987</v>
      </c>
    </row>
    <row r="29" customFormat="false" ht="15" hidden="false" customHeight="true" outlineLevel="0" collapsed="false">
      <c r="A29" s="13"/>
      <c r="B29" s="13"/>
      <c r="C29" s="13"/>
      <c r="D29" s="13" t="s">
        <v>47</v>
      </c>
      <c r="E29" s="13" t="s">
        <v>988</v>
      </c>
      <c r="F29" s="13"/>
      <c r="G29" s="13" t="s">
        <v>966</v>
      </c>
    </row>
    <row r="30" customFormat="false" ht="15" hidden="false" customHeight="true" outlineLevel="0" collapsed="false">
      <c r="A30" s="1" t="s">
        <v>175</v>
      </c>
      <c r="B30" s="1" t="s">
        <v>175</v>
      </c>
      <c r="C30" s="11" t="s">
        <v>15</v>
      </c>
      <c r="D30" s="1" t="s">
        <v>953</v>
      </c>
      <c r="E30" s="1" t="s">
        <v>989</v>
      </c>
      <c r="F30" s="1" t="s">
        <v>990</v>
      </c>
      <c r="G30" s="1" t="s">
        <v>962</v>
      </c>
    </row>
    <row r="31" customFormat="false" ht="15" hidden="false" customHeight="true" outlineLevel="0" collapsed="false">
      <c r="D31" s="1" t="s">
        <v>955</v>
      </c>
      <c r="E31" s="1" t="s">
        <v>991</v>
      </c>
      <c r="F31" s="1" t="s">
        <v>991</v>
      </c>
    </row>
    <row r="32" customFormat="false" ht="15" hidden="false" customHeight="true" outlineLevel="0" collapsed="false">
      <c r="D32" s="1" t="s">
        <v>957</v>
      </c>
      <c r="E32" s="1" t="s">
        <v>992</v>
      </c>
      <c r="F32" s="1" t="s">
        <v>992</v>
      </c>
    </row>
    <row r="33" customFormat="false" ht="15" hidden="false" customHeight="true" outlineLevel="0" collapsed="false">
      <c r="A33" s="13"/>
      <c r="B33" s="13"/>
      <c r="C33" s="13"/>
      <c r="D33" s="13" t="s">
        <v>47</v>
      </c>
      <c r="E33" s="13" t="s">
        <v>993</v>
      </c>
      <c r="F33" s="13"/>
      <c r="G33" s="13" t="s">
        <v>966</v>
      </c>
    </row>
    <row r="34" customFormat="false" ht="15" hidden="false" customHeight="true" outlineLevel="0" collapsed="false">
      <c r="A34" s="1" t="s">
        <v>196</v>
      </c>
      <c r="B34" s="1" t="s">
        <v>196</v>
      </c>
      <c r="C34" s="11" t="s">
        <v>15</v>
      </c>
      <c r="D34" s="1" t="s">
        <v>953</v>
      </c>
      <c r="E34" s="1" t="s">
        <v>994</v>
      </c>
      <c r="F34" s="1" t="s">
        <v>995</v>
      </c>
      <c r="G34" s="1" t="s">
        <v>969</v>
      </c>
    </row>
    <row r="35" customFormat="false" ht="15" hidden="false" customHeight="true" outlineLevel="0" collapsed="false">
      <c r="D35" s="1" t="s">
        <v>955</v>
      </c>
      <c r="E35" s="1" t="s">
        <v>963</v>
      </c>
      <c r="F35" s="1" t="s">
        <v>963</v>
      </c>
    </row>
    <row r="36" customFormat="false" ht="15" hidden="false" customHeight="true" outlineLevel="0" collapsed="false">
      <c r="D36" s="1" t="s">
        <v>957</v>
      </c>
      <c r="E36" s="1" t="s">
        <v>996</v>
      </c>
      <c r="F36" s="1" t="s">
        <v>996</v>
      </c>
    </row>
    <row r="37" customFormat="false" ht="15" hidden="false" customHeight="true" outlineLevel="0" collapsed="false">
      <c r="A37" s="13"/>
      <c r="B37" s="13"/>
      <c r="C37" s="13"/>
      <c r="D37" s="13" t="s">
        <v>47</v>
      </c>
      <c r="E37" s="13" t="s">
        <v>997</v>
      </c>
      <c r="F37" s="13"/>
      <c r="G37" s="13" t="s">
        <v>966</v>
      </c>
    </row>
    <row r="38" customFormat="false" ht="15" hidden="false" customHeight="true" outlineLevel="0" collapsed="false">
      <c r="A38" s="1" t="s">
        <v>213</v>
      </c>
      <c r="B38" s="1" t="s">
        <v>213</v>
      </c>
      <c r="C38" s="11" t="s">
        <v>15</v>
      </c>
      <c r="D38" s="1" t="s">
        <v>953</v>
      </c>
      <c r="E38" s="1" t="s">
        <v>998</v>
      </c>
      <c r="F38" s="1" t="s">
        <v>999</v>
      </c>
      <c r="G38" s="1" t="s">
        <v>969</v>
      </c>
    </row>
    <row r="39" customFormat="false" ht="15" hidden="false" customHeight="true" outlineLevel="0" collapsed="false">
      <c r="D39" s="1" t="s">
        <v>955</v>
      </c>
      <c r="E39" s="1" t="s">
        <v>1000</v>
      </c>
      <c r="F39" s="1" t="s">
        <v>1000</v>
      </c>
    </row>
    <row r="40" customFormat="false" ht="15" hidden="false" customHeight="true" outlineLevel="0" collapsed="false">
      <c r="D40" s="1" t="s">
        <v>957</v>
      </c>
      <c r="E40" s="1" t="s">
        <v>1001</v>
      </c>
      <c r="F40" s="1" t="s">
        <v>1001</v>
      </c>
    </row>
    <row r="41" customFormat="false" ht="15" hidden="false" customHeight="true" outlineLevel="0" collapsed="false">
      <c r="A41" s="13"/>
      <c r="B41" s="13"/>
      <c r="C41" s="13"/>
      <c r="D41" s="13" t="s">
        <v>47</v>
      </c>
      <c r="E41" s="13" t="s">
        <v>1002</v>
      </c>
      <c r="F41" s="13"/>
      <c r="G41" s="13" t="s">
        <v>966</v>
      </c>
    </row>
    <row r="42" customFormat="false" ht="15" hidden="false" customHeight="true" outlineLevel="0" collapsed="false">
      <c r="A42" s="1" t="s">
        <v>231</v>
      </c>
      <c r="B42" s="1" t="s">
        <v>231</v>
      </c>
      <c r="C42" s="11" t="s">
        <v>15</v>
      </c>
      <c r="D42" s="1" t="s">
        <v>953</v>
      </c>
      <c r="E42" s="1" t="s">
        <v>1003</v>
      </c>
      <c r="F42" s="1" t="s">
        <v>1004</v>
      </c>
      <c r="G42" s="1" t="s">
        <v>1005</v>
      </c>
    </row>
    <row r="43" customFormat="false" ht="15" hidden="false" customHeight="true" outlineLevel="0" collapsed="false">
      <c r="D43" s="1" t="s">
        <v>955</v>
      </c>
      <c r="E43" s="1" t="s">
        <v>956</v>
      </c>
      <c r="F43" s="1" t="s">
        <v>956</v>
      </c>
    </row>
    <row r="44" customFormat="false" ht="15" hidden="false" customHeight="true" outlineLevel="0" collapsed="false">
      <c r="D44" s="1" t="s">
        <v>957</v>
      </c>
      <c r="E44" s="1" t="s">
        <v>1006</v>
      </c>
      <c r="F44" s="1" t="s">
        <v>1006</v>
      </c>
    </row>
    <row r="45" customFormat="false" ht="15" hidden="false" customHeight="true" outlineLevel="0" collapsed="false">
      <c r="A45" s="13"/>
      <c r="B45" s="13"/>
      <c r="C45" s="13"/>
      <c r="D45" s="13" t="s">
        <v>47</v>
      </c>
      <c r="E45" s="13" t="s">
        <v>1007</v>
      </c>
      <c r="F45" s="13"/>
      <c r="G45" s="13" t="s">
        <v>966</v>
      </c>
    </row>
    <row r="46" customFormat="false" ht="15" hidden="false" customHeight="true" outlineLevel="0" collapsed="false">
      <c r="A46" s="1" t="s">
        <v>249</v>
      </c>
      <c r="B46" s="1" t="s">
        <v>249</v>
      </c>
      <c r="C46" s="11" t="s">
        <v>15</v>
      </c>
      <c r="D46" s="1" t="s">
        <v>953</v>
      </c>
      <c r="E46" s="1" t="s">
        <v>37</v>
      </c>
      <c r="F46" s="1" t="s">
        <v>1008</v>
      </c>
    </row>
    <row r="47" customFormat="false" ht="15" hidden="false" customHeight="true" outlineLevel="0" collapsed="false">
      <c r="D47" s="1" t="s">
        <v>955</v>
      </c>
      <c r="E47" s="1" t="s">
        <v>37</v>
      </c>
      <c r="F47" s="1" t="s">
        <v>1009</v>
      </c>
    </row>
    <row r="48" customFormat="false" ht="15" hidden="false" customHeight="true" outlineLevel="0" collapsed="false">
      <c r="D48" s="1" t="s">
        <v>957</v>
      </c>
      <c r="E48" s="1" t="s">
        <v>1008</v>
      </c>
      <c r="F48" s="1" t="s">
        <v>1008</v>
      </c>
    </row>
    <row r="49" customFormat="false" ht="15" hidden="false" customHeight="true" outlineLevel="0" collapsed="false">
      <c r="A49" s="12"/>
      <c r="B49" s="12"/>
      <c r="C49" s="12"/>
      <c r="D49" s="12" t="s">
        <v>47</v>
      </c>
      <c r="E49" s="12" t="s">
        <v>959</v>
      </c>
      <c r="F49" s="12"/>
      <c r="G49" s="12" t="s">
        <v>933</v>
      </c>
    </row>
    <row r="50" customFormat="false" ht="15" hidden="false" customHeight="true" outlineLevel="0" collapsed="false">
      <c r="A50" s="1" t="s">
        <v>262</v>
      </c>
      <c r="B50" s="1" t="s">
        <v>262</v>
      </c>
      <c r="C50" s="11" t="s">
        <v>15</v>
      </c>
      <c r="D50" s="1" t="s">
        <v>953</v>
      </c>
      <c r="E50" s="1" t="s">
        <v>1010</v>
      </c>
      <c r="F50" s="1" t="s">
        <v>1010</v>
      </c>
    </row>
    <row r="51" customFormat="false" ht="15" hidden="false" customHeight="true" outlineLevel="0" collapsed="false">
      <c r="D51" s="1" t="s">
        <v>955</v>
      </c>
      <c r="E51" s="1" t="s">
        <v>956</v>
      </c>
      <c r="F51" s="1" t="s">
        <v>956</v>
      </c>
    </row>
    <row r="52" customFormat="false" ht="15" hidden="false" customHeight="true" outlineLevel="0" collapsed="false">
      <c r="D52" s="1" t="s">
        <v>957</v>
      </c>
      <c r="E52" s="1" t="s">
        <v>1011</v>
      </c>
      <c r="F52" s="1" t="s">
        <v>1011</v>
      </c>
    </row>
    <row r="53" customFormat="false" ht="15" hidden="false" customHeight="true" outlineLevel="0" collapsed="false">
      <c r="A53" s="12"/>
      <c r="B53" s="12"/>
      <c r="C53" s="12"/>
      <c r="D53" s="12" t="s">
        <v>47</v>
      </c>
      <c r="E53" s="12" t="s">
        <v>959</v>
      </c>
      <c r="F53" s="12"/>
      <c r="G53" s="12" t="s">
        <v>933</v>
      </c>
    </row>
    <row r="54" customFormat="false" ht="15" hidden="false" customHeight="true" outlineLevel="0" collapsed="false">
      <c r="A54" s="1" t="s">
        <v>279</v>
      </c>
      <c r="B54" s="1" t="s">
        <v>279</v>
      </c>
      <c r="C54" s="11" t="s">
        <v>15</v>
      </c>
      <c r="D54" s="1" t="s">
        <v>953</v>
      </c>
      <c r="E54" s="1" t="s">
        <v>1012</v>
      </c>
      <c r="F54" s="1" t="s">
        <v>1013</v>
      </c>
      <c r="G54" s="1" t="s">
        <v>1014</v>
      </c>
    </row>
    <row r="55" customFormat="false" ht="15" hidden="false" customHeight="true" outlineLevel="0" collapsed="false">
      <c r="D55" s="1" t="s">
        <v>955</v>
      </c>
      <c r="E55" s="1" t="s">
        <v>1015</v>
      </c>
      <c r="F55" s="1" t="s">
        <v>1015</v>
      </c>
    </row>
    <row r="56" customFormat="false" ht="15" hidden="false" customHeight="true" outlineLevel="0" collapsed="false">
      <c r="D56" s="1" t="s">
        <v>957</v>
      </c>
      <c r="E56" s="1" t="s">
        <v>1016</v>
      </c>
      <c r="F56" s="1" t="s">
        <v>1016</v>
      </c>
    </row>
    <row r="57" customFormat="false" ht="15" hidden="false" customHeight="true" outlineLevel="0" collapsed="false">
      <c r="A57" s="13"/>
      <c r="B57" s="13"/>
      <c r="C57" s="13"/>
      <c r="D57" s="13" t="s">
        <v>47</v>
      </c>
      <c r="E57" s="13" t="s">
        <v>1017</v>
      </c>
      <c r="F57" s="13"/>
      <c r="G57" s="13" t="s">
        <v>966</v>
      </c>
    </row>
    <row r="58" customFormat="false" ht="15" hidden="false" customHeight="true" outlineLevel="0" collapsed="false">
      <c r="A58" s="1" t="s">
        <v>296</v>
      </c>
      <c r="B58" s="1" t="s">
        <v>296</v>
      </c>
      <c r="C58" s="11" t="s">
        <v>15</v>
      </c>
      <c r="D58" s="1" t="s">
        <v>953</v>
      </c>
      <c r="E58" s="1" t="s">
        <v>1018</v>
      </c>
      <c r="F58" s="1" t="s">
        <v>1019</v>
      </c>
      <c r="G58" s="1" t="s">
        <v>1020</v>
      </c>
    </row>
    <row r="59" customFormat="false" ht="15" hidden="false" customHeight="true" outlineLevel="0" collapsed="false">
      <c r="D59" s="1" t="s">
        <v>955</v>
      </c>
      <c r="E59" s="1" t="s">
        <v>963</v>
      </c>
      <c r="F59" s="1" t="s">
        <v>963</v>
      </c>
    </row>
    <row r="60" customFormat="false" ht="15" hidden="false" customHeight="true" outlineLevel="0" collapsed="false">
      <c r="D60" s="1" t="s">
        <v>957</v>
      </c>
      <c r="E60" s="1" t="s">
        <v>1021</v>
      </c>
      <c r="F60" s="1" t="s">
        <v>1021</v>
      </c>
    </row>
    <row r="61" customFormat="false" ht="15" hidden="false" customHeight="true" outlineLevel="0" collapsed="false">
      <c r="A61" s="13"/>
      <c r="B61" s="13"/>
      <c r="C61" s="13"/>
      <c r="D61" s="13" t="s">
        <v>47</v>
      </c>
      <c r="E61" s="13" t="s">
        <v>1022</v>
      </c>
      <c r="F61" s="13"/>
      <c r="G61" s="13" t="s">
        <v>966</v>
      </c>
    </row>
    <row r="62" customFormat="false" ht="15" hidden="false" customHeight="true" outlineLevel="0" collapsed="false">
      <c r="A62" s="1" t="s">
        <v>315</v>
      </c>
      <c r="B62" s="1" t="s">
        <v>315</v>
      </c>
      <c r="C62" s="11" t="s">
        <v>15</v>
      </c>
      <c r="D62" s="1" t="s">
        <v>953</v>
      </c>
      <c r="E62" s="1" t="s">
        <v>1023</v>
      </c>
      <c r="F62" s="1" t="s">
        <v>1024</v>
      </c>
      <c r="G62" s="1" t="s">
        <v>1025</v>
      </c>
    </row>
    <row r="63" customFormat="false" ht="15" hidden="false" customHeight="true" outlineLevel="0" collapsed="false">
      <c r="D63" s="1" t="s">
        <v>955</v>
      </c>
      <c r="E63" s="1" t="s">
        <v>991</v>
      </c>
      <c r="F63" s="1" t="s">
        <v>991</v>
      </c>
    </row>
    <row r="64" customFormat="false" ht="15" hidden="false" customHeight="true" outlineLevel="0" collapsed="false">
      <c r="D64" s="1" t="s">
        <v>957</v>
      </c>
      <c r="E64" s="1" t="s">
        <v>1026</v>
      </c>
      <c r="F64" s="1" t="s">
        <v>1026</v>
      </c>
    </row>
    <row r="65" customFormat="false" ht="15" hidden="false" customHeight="true" outlineLevel="0" collapsed="false">
      <c r="A65" s="13"/>
      <c r="B65" s="13"/>
      <c r="C65" s="13"/>
      <c r="D65" s="13" t="s">
        <v>47</v>
      </c>
      <c r="E65" s="13" t="s">
        <v>1027</v>
      </c>
      <c r="F65" s="13"/>
      <c r="G65" s="13" t="s">
        <v>966</v>
      </c>
    </row>
    <row r="66" customFormat="false" ht="15" hidden="false" customHeight="true" outlineLevel="0" collapsed="false">
      <c r="A66" s="1" t="s">
        <v>338</v>
      </c>
      <c r="B66" s="1" t="s">
        <v>338</v>
      </c>
      <c r="C66" s="11" t="s">
        <v>15</v>
      </c>
      <c r="D66" s="1" t="s">
        <v>953</v>
      </c>
      <c r="E66" s="1" t="s">
        <v>1028</v>
      </c>
      <c r="F66" s="1" t="s">
        <v>1029</v>
      </c>
      <c r="G66" s="1" t="s">
        <v>1030</v>
      </c>
    </row>
    <row r="67" customFormat="false" ht="15" hidden="false" customHeight="true" outlineLevel="0" collapsed="false">
      <c r="D67" s="1" t="s">
        <v>955</v>
      </c>
      <c r="E67" s="1" t="s">
        <v>1031</v>
      </c>
      <c r="F67" s="1" t="s">
        <v>1031</v>
      </c>
    </row>
    <row r="68" customFormat="false" ht="15" hidden="false" customHeight="true" outlineLevel="0" collapsed="false">
      <c r="D68" s="1" t="s">
        <v>957</v>
      </c>
      <c r="E68" s="1" t="s">
        <v>1032</v>
      </c>
      <c r="F68" s="1" t="s">
        <v>1032</v>
      </c>
    </row>
    <row r="69" customFormat="false" ht="15" hidden="false" customHeight="true" outlineLevel="0" collapsed="false">
      <c r="A69" s="13"/>
      <c r="B69" s="13"/>
      <c r="C69" s="13"/>
      <c r="D69" s="13" t="s">
        <v>47</v>
      </c>
      <c r="E69" s="13" t="s">
        <v>1033</v>
      </c>
      <c r="F69" s="13"/>
      <c r="G69" s="13" t="s">
        <v>966</v>
      </c>
    </row>
    <row r="70" customFormat="false" ht="15" hidden="false" customHeight="true" outlineLevel="0" collapsed="false">
      <c r="A70" s="1" t="s">
        <v>360</v>
      </c>
      <c r="B70" s="1" t="s">
        <v>360</v>
      </c>
      <c r="C70" s="11" t="s">
        <v>15</v>
      </c>
      <c r="D70" s="1" t="s">
        <v>953</v>
      </c>
      <c r="E70" s="1" t="s">
        <v>1034</v>
      </c>
      <c r="F70" s="1" t="s">
        <v>1034</v>
      </c>
    </row>
    <row r="71" customFormat="false" ht="15" hidden="false" customHeight="true" outlineLevel="0" collapsed="false">
      <c r="D71" s="1" t="s">
        <v>955</v>
      </c>
      <c r="E71" s="1" t="s">
        <v>37</v>
      </c>
      <c r="F71" s="1" t="s">
        <v>1009</v>
      </c>
    </row>
    <row r="72" customFormat="false" ht="15" hidden="false" customHeight="true" outlineLevel="0" collapsed="false">
      <c r="D72" s="1" t="s">
        <v>957</v>
      </c>
      <c r="E72" s="1" t="s">
        <v>1034</v>
      </c>
      <c r="F72" s="1" t="s">
        <v>1034</v>
      </c>
    </row>
    <row r="73" customFormat="false" ht="15" hidden="false" customHeight="true" outlineLevel="0" collapsed="false">
      <c r="A73" s="12"/>
      <c r="B73" s="12"/>
      <c r="C73" s="12"/>
      <c r="D73" s="12" t="s">
        <v>47</v>
      </c>
      <c r="E73" s="12" t="s">
        <v>959</v>
      </c>
      <c r="F73" s="12"/>
      <c r="G73" s="12" t="s">
        <v>933</v>
      </c>
    </row>
    <row r="74" customFormat="false" ht="15" hidden="false" customHeight="true" outlineLevel="0" collapsed="false">
      <c r="A74" s="1" t="s">
        <v>372</v>
      </c>
      <c r="B74" s="1" t="s">
        <v>372</v>
      </c>
      <c r="C74" s="11" t="s">
        <v>15</v>
      </c>
      <c r="D74" s="1" t="s">
        <v>953</v>
      </c>
      <c r="E74" s="1" t="s">
        <v>1035</v>
      </c>
      <c r="F74" s="1" t="s">
        <v>1036</v>
      </c>
      <c r="G74" s="1" t="s">
        <v>1037</v>
      </c>
    </row>
    <row r="75" customFormat="false" ht="15" hidden="false" customHeight="true" outlineLevel="0" collapsed="false">
      <c r="D75" s="1" t="s">
        <v>955</v>
      </c>
      <c r="E75" s="1" t="s">
        <v>1038</v>
      </c>
      <c r="F75" s="1" t="s">
        <v>1038</v>
      </c>
    </row>
    <row r="76" customFormat="false" ht="15" hidden="false" customHeight="true" outlineLevel="0" collapsed="false">
      <c r="D76" s="1" t="s">
        <v>957</v>
      </c>
      <c r="E76" s="1" t="s">
        <v>1039</v>
      </c>
      <c r="F76" s="1" t="s">
        <v>1039</v>
      </c>
    </row>
    <row r="77" customFormat="false" ht="15" hidden="false" customHeight="true" outlineLevel="0" collapsed="false">
      <c r="A77" s="13"/>
      <c r="B77" s="13"/>
      <c r="C77" s="13"/>
      <c r="D77" s="13" t="s">
        <v>47</v>
      </c>
      <c r="E77" s="13" t="s">
        <v>1040</v>
      </c>
      <c r="F77" s="13"/>
      <c r="G77" s="13" t="s">
        <v>966</v>
      </c>
    </row>
    <row r="78" customFormat="false" ht="15" hidden="false" customHeight="true" outlineLevel="0" collapsed="false">
      <c r="A78" s="1" t="s">
        <v>389</v>
      </c>
      <c r="B78" s="1" t="s">
        <v>389</v>
      </c>
      <c r="C78" s="11" t="s">
        <v>15</v>
      </c>
      <c r="D78" s="1" t="s">
        <v>953</v>
      </c>
      <c r="E78" s="1" t="s">
        <v>1041</v>
      </c>
      <c r="F78" s="1" t="s">
        <v>1041</v>
      </c>
    </row>
    <row r="79" customFormat="false" ht="15" hidden="false" customHeight="true" outlineLevel="0" collapsed="false">
      <c r="D79" s="1" t="s">
        <v>955</v>
      </c>
      <c r="E79" s="1" t="s">
        <v>1042</v>
      </c>
      <c r="F79" s="1" t="s">
        <v>1042</v>
      </c>
    </row>
    <row r="80" customFormat="false" ht="15" hidden="false" customHeight="true" outlineLevel="0" collapsed="false">
      <c r="D80" s="1" t="s">
        <v>957</v>
      </c>
      <c r="E80" s="1" t="s">
        <v>1043</v>
      </c>
      <c r="F80" s="1" t="s">
        <v>1043</v>
      </c>
    </row>
    <row r="81" customFormat="false" ht="15" hidden="false" customHeight="true" outlineLevel="0" collapsed="false">
      <c r="A81" s="12"/>
      <c r="B81" s="12"/>
      <c r="C81" s="12"/>
      <c r="D81" s="12" t="s">
        <v>47</v>
      </c>
      <c r="E81" s="12" t="s">
        <v>959</v>
      </c>
      <c r="F81" s="12"/>
      <c r="G81" s="12" t="s">
        <v>933</v>
      </c>
    </row>
    <row r="82" customFormat="false" ht="15" hidden="false" customHeight="true" outlineLevel="0" collapsed="false">
      <c r="A82" s="1" t="s">
        <v>408</v>
      </c>
      <c r="B82" s="1" t="s">
        <v>408</v>
      </c>
      <c r="C82" s="11" t="s">
        <v>15</v>
      </c>
      <c r="D82" s="1" t="s">
        <v>953</v>
      </c>
      <c r="E82" s="1" t="s">
        <v>1044</v>
      </c>
      <c r="F82" s="1" t="s">
        <v>1045</v>
      </c>
      <c r="G82" s="1" t="s">
        <v>962</v>
      </c>
    </row>
    <row r="83" customFormat="false" ht="15" hidden="false" customHeight="true" outlineLevel="0" collapsed="false">
      <c r="D83" s="1" t="s">
        <v>955</v>
      </c>
      <c r="E83" s="1" t="s">
        <v>963</v>
      </c>
      <c r="F83" s="1" t="s">
        <v>963</v>
      </c>
    </row>
    <row r="84" customFormat="false" ht="15" hidden="false" customHeight="true" outlineLevel="0" collapsed="false">
      <c r="D84" s="1" t="s">
        <v>957</v>
      </c>
      <c r="E84" s="1" t="s">
        <v>1046</v>
      </c>
      <c r="F84" s="1" t="s">
        <v>1046</v>
      </c>
    </row>
    <row r="85" customFormat="false" ht="15" hidden="false" customHeight="true" outlineLevel="0" collapsed="false">
      <c r="A85" s="13"/>
      <c r="B85" s="13"/>
      <c r="C85" s="13"/>
      <c r="D85" s="13" t="s">
        <v>47</v>
      </c>
      <c r="E85" s="13" t="s">
        <v>1047</v>
      </c>
      <c r="F85" s="13"/>
      <c r="G85" s="13" t="s">
        <v>966</v>
      </c>
    </row>
    <row r="86" customFormat="false" ht="15" hidden="false" customHeight="true" outlineLevel="0" collapsed="false">
      <c r="A86" s="1" t="s">
        <v>426</v>
      </c>
      <c r="B86" s="1" t="s">
        <v>426</v>
      </c>
      <c r="C86" s="11" t="s">
        <v>15</v>
      </c>
      <c r="D86" s="1" t="s">
        <v>953</v>
      </c>
      <c r="E86" s="1" t="s">
        <v>1048</v>
      </c>
      <c r="F86" s="1" t="s">
        <v>1048</v>
      </c>
    </row>
    <row r="87" customFormat="false" ht="15" hidden="false" customHeight="true" outlineLevel="0" collapsed="false">
      <c r="D87" s="1" t="s">
        <v>955</v>
      </c>
      <c r="E87" s="1" t="s">
        <v>956</v>
      </c>
      <c r="F87" s="1" t="s">
        <v>956</v>
      </c>
    </row>
    <row r="88" customFormat="false" ht="15" hidden="false" customHeight="true" outlineLevel="0" collapsed="false">
      <c r="D88" s="1" t="s">
        <v>957</v>
      </c>
      <c r="E88" s="1" t="s">
        <v>1049</v>
      </c>
      <c r="F88" s="1" t="s">
        <v>1049</v>
      </c>
    </row>
    <row r="89" customFormat="false" ht="15" hidden="false" customHeight="true" outlineLevel="0" collapsed="false">
      <c r="A89" s="12"/>
      <c r="B89" s="12"/>
      <c r="C89" s="12"/>
      <c r="D89" s="12" t="s">
        <v>47</v>
      </c>
      <c r="E89" s="12" t="s">
        <v>959</v>
      </c>
      <c r="F89" s="12"/>
      <c r="G89" s="12" t="s">
        <v>933</v>
      </c>
    </row>
    <row r="90" customFormat="false" ht="15" hidden="false" customHeight="true" outlineLevel="0" collapsed="false">
      <c r="A90" s="1" t="s">
        <v>443</v>
      </c>
      <c r="B90" s="1" t="s">
        <v>443</v>
      </c>
      <c r="C90" s="11" t="s">
        <v>15</v>
      </c>
      <c r="D90" s="1" t="s">
        <v>953</v>
      </c>
      <c r="E90" s="1" t="s">
        <v>1050</v>
      </c>
      <c r="F90" s="1" t="s">
        <v>1050</v>
      </c>
    </row>
    <row r="91" customFormat="false" ht="15" hidden="false" customHeight="true" outlineLevel="0" collapsed="false">
      <c r="D91" s="1" t="s">
        <v>955</v>
      </c>
      <c r="E91" s="1" t="s">
        <v>956</v>
      </c>
      <c r="F91" s="1" t="s">
        <v>956</v>
      </c>
    </row>
    <row r="92" customFormat="false" ht="15" hidden="false" customHeight="true" outlineLevel="0" collapsed="false">
      <c r="D92" s="1" t="s">
        <v>957</v>
      </c>
      <c r="E92" s="1" t="s">
        <v>1051</v>
      </c>
      <c r="F92" s="1" t="s">
        <v>1051</v>
      </c>
    </row>
    <row r="93" customFormat="false" ht="15" hidden="false" customHeight="true" outlineLevel="0" collapsed="false">
      <c r="A93" s="12"/>
      <c r="B93" s="12"/>
      <c r="C93" s="12"/>
      <c r="D93" s="12" t="s">
        <v>47</v>
      </c>
      <c r="E93" s="12" t="s">
        <v>959</v>
      </c>
      <c r="F93" s="12"/>
      <c r="G93" s="12" t="s">
        <v>933</v>
      </c>
    </row>
    <row r="94" customFormat="false" ht="15" hidden="false" customHeight="true" outlineLevel="0" collapsed="false">
      <c r="A94" s="1" t="s">
        <v>458</v>
      </c>
      <c r="B94" s="1" t="s">
        <v>458</v>
      </c>
      <c r="C94" s="11" t="s">
        <v>15</v>
      </c>
      <c r="D94" s="1" t="s">
        <v>953</v>
      </c>
      <c r="E94" s="1" t="s">
        <v>1052</v>
      </c>
      <c r="F94" s="1" t="s">
        <v>1052</v>
      </c>
    </row>
    <row r="95" customFormat="false" ht="15" hidden="false" customHeight="true" outlineLevel="0" collapsed="false">
      <c r="D95" s="1" t="s">
        <v>955</v>
      </c>
      <c r="E95" s="1" t="s">
        <v>1053</v>
      </c>
      <c r="F95" s="1" t="s">
        <v>1053</v>
      </c>
    </row>
    <row r="96" customFormat="false" ht="15" hidden="false" customHeight="true" outlineLevel="0" collapsed="false">
      <c r="D96" s="1" t="s">
        <v>957</v>
      </c>
      <c r="E96" s="1" t="s">
        <v>1054</v>
      </c>
      <c r="F96" s="1" t="s">
        <v>1054</v>
      </c>
    </row>
    <row r="97" customFormat="false" ht="15" hidden="false" customHeight="true" outlineLevel="0" collapsed="false">
      <c r="A97" s="12"/>
      <c r="B97" s="12"/>
      <c r="C97" s="12"/>
      <c r="D97" s="12" t="s">
        <v>47</v>
      </c>
      <c r="E97" s="12" t="s">
        <v>959</v>
      </c>
      <c r="F97" s="12"/>
      <c r="G97" s="12" t="s">
        <v>933</v>
      </c>
    </row>
    <row r="98" customFormat="false" ht="15" hidden="false" customHeight="true" outlineLevel="0" collapsed="false">
      <c r="A98" s="1" t="s">
        <v>476</v>
      </c>
      <c r="B98" s="1" t="s">
        <v>476</v>
      </c>
      <c r="C98" s="11" t="s">
        <v>15</v>
      </c>
      <c r="D98" s="1" t="s">
        <v>953</v>
      </c>
      <c r="E98" s="1" t="s">
        <v>1055</v>
      </c>
      <c r="F98" s="1" t="s">
        <v>1056</v>
      </c>
      <c r="G98" s="1" t="s">
        <v>1057</v>
      </c>
    </row>
    <row r="99" customFormat="false" ht="15" hidden="false" customHeight="true" outlineLevel="0" collapsed="false">
      <c r="D99" s="1" t="s">
        <v>955</v>
      </c>
      <c r="E99" s="1" t="s">
        <v>963</v>
      </c>
      <c r="F99" s="1" t="s">
        <v>963</v>
      </c>
    </row>
    <row r="100" customFormat="false" ht="15" hidden="false" customHeight="true" outlineLevel="0" collapsed="false">
      <c r="D100" s="1" t="s">
        <v>957</v>
      </c>
      <c r="E100" s="1" t="s">
        <v>1058</v>
      </c>
      <c r="F100" s="1" t="s">
        <v>1058</v>
      </c>
    </row>
    <row r="101" customFormat="false" ht="15" hidden="false" customHeight="true" outlineLevel="0" collapsed="false">
      <c r="A101" s="13"/>
      <c r="B101" s="13"/>
      <c r="C101" s="13"/>
      <c r="D101" s="13" t="s">
        <v>47</v>
      </c>
      <c r="E101" s="13" t="s">
        <v>1059</v>
      </c>
      <c r="F101" s="13"/>
      <c r="G101" s="13" t="s">
        <v>966</v>
      </c>
    </row>
    <row r="102" customFormat="false" ht="15" hidden="false" customHeight="true" outlineLevel="0" collapsed="false">
      <c r="A102" s="1" t="s">
        <v>494</v>
      </c>
      <c r="B102" s="1" t="s">
        <v>494</v>
      </c>
      <c r="C102" s="11" t="s">
        <v>15</v>
      </c>
      <c r="D102" s="1" t="s">
        <v>953</v>
      </c>
      <c r="E102" s="1" t="s">
        <v>1060</v>
      </c>
      <c r="F102" s="1" t="s">
        <v>1061</v>
      </c>
      <c r="G102" s="1" t="s">
        <v>1062</v>
      </c>
    </row>
    <row r="103" customFormat="false" ht="15" hidden="false" customHeight="true" outlineLevel="0" collapsed="false">
      <c r="D103" s="1" t="s">
        <v>955</v>
      </c>
      <c r="E103" s="1" t="s">
        <v>956</v>
      </c>
      <c r="F103" s="1" t="s">
        <v>956</v>
      </c>
    </row>
    <row r="104" customFormat="false" ht="15" hidden="false" customHeight="true" outlineLevel="0" collapsed="false">
      <c r="D104" s="1" t="s">
        <v>957</v>
      </c>
      <c r="E104" s="1" t="s">
        <v>1063</v>
      </c>
      <c r="F104" s="1" t="s">
        <v>1063</v>
      </c>
    </row>
    <row r="105" customFormat="false" ht="15" hidden="false" customHeight="true" outlineLevel="0" collapsed="false">
      <c r="A105" s="13"/>
      <c r="B105" s="13"/>
      <c r="C105" s="13"/>
      <c r="D105" s="13" t="s">
        <v>47</v>
      </c>
      <c r="E105" s="13" t="s">
        <v>1064</v>
      </c>
      <c r="F105" s="13"/>
      <c r="G105" s="13" t="s">
        <v>966</v>
      </c>
    </row>
    <row r="106" customFormat="false" ht="15" hidden="false" customHeight="true" outlineLevel="0" collapsed="false">
      <c r="A106" s="1" t="s">
        <v>514</v>
      </c>
      <c r="B106" s="1" t="s">
        <v>514</v>
      </c>
      <c r="C106" s="11" t="s">
        <v>15</v>
      </c>
      <c r="D106" s="1" t="s">
        <v>953</v>
      </c>
      <c r="E106" s="1" t="s">
        <v>1065</v>
      </c>
      <c r="F106" s="1" t="s">
        <v>1065</v>
      </c>
    </row>
    <row r="107" customFormat="false" ht="15" hidden="false" customHeight="true" outlineLevel="0" collapsed="false">
      <c r="D107" s="1" t="s">
        <v>955</v>
      </c>
      <c r="E107" s="1" t="s">
        <v>1066</v>
      </c>
      <c r="F107" s="1" t="s">
        <v>1066</v>
      </c>
    </row>
    <row r="108" customFormat="false" ht="15" hidden="false" customHeight="true" outlineLevel="0" collapsed="false">
      <c r="D108" s="1" t="s">
        <v>957</v>
      </c>
      <c r="E108" s="1" t="s">
        <v>1067</v>
      </c>
      <c r="F108" s="1" t="s">
        <v>1067</v>
      </c>
    </row>
    <row r="109" customFormat="false" ht="15" hidden="false" customHeight="true" outlineLevel="0" collapsed="false">
      <c r="A109" s="12"/>
      <c r="B109" s="12"/>
      <c r="C109" s="12"/>
      <c r="D109" s="12" t="s">
        <v>47</v>
      </c>
      <c r="E109" s="12" t="s">
        <v>959</v>
      </c>
      <c r="F109" s="12"/>
      <c r="G109" s="12" t="s">
        <v>933</v>
      </c>
    </row>
    <row r="110" customFormat="false" ht="15" hidden="false" customHeight="true" outlineLevel="0" collapsed="false">
      <c r="A110" s="1" t="s">
        <v>532</v>
      </c>
      <c r="B110" s="1" t="s">
        <v>532</v>
      </c>
      <c r="C110" s="11" t="s">
        <v>15</v>
      </c>
      <c r="D110" s="1" t="s">
        <v>953</v>
      </c>
      <c r="E110" s="1" t="s">
        <v>1068</v>
      </c>
      <c r="F110" s="1" t="s">
        <v>1068</v>
      </c>
    </row>
    <row r="111" customFormat="false" ht="15" hidden="false" customHeight="true" outlineLevel="0" collapsed="false">
      <c r="D111" s="1" t="s">
        <v>955</v>
      </c>
      <c r="E111" s="1" t="s">
        <v>37</v>
      </c>
      <c r="F111" s="1" t="s">
        <v>1009</v>
      </c>
    </row>
    <row r="112" customFormat="false" ht="15" hidden="false" customHeight="true" outlineLevel="0" collapsed="false">
      <c r="D112" s="1" t="s">
        <v>957</v>
      </c>
      <c r="E112" s="1" t="s">
        <v>1068</v>
      </c>
      <c r="F112" s="1" t="s">
        <v>1068</v>
      </c>
    </row>
    <row r="113" customFormat="false" ht="15" hidden="false" customHeight="true" outlineLevel="0" collapsed="false">
      <c r="A113" s="12"/>
      <c r="B113" s="12"/>
      <c r="C113" s="12"/>
      <c r="D113" s="12" t="s">
        <v>47</v>
      </c>
      <c r="E113" s="12" t="s">
        <v>959</v>
      </c>
      <c r="F113" s="12"/>
      <c r="G113" s="12" t="s">
        <v>933</v>
      </c>
    </row>
    <row r="114" customFormat="false" ht="15" hidden="false" customHeight="true" outlineLevel="0" collapsed="false">
      <c r="A114" s="1" t="s">
        <v>544</v>
      </c>
      <c r="B114" s="1" t="s">
        <v>1069</v>
      </c>
      <c r="C114" s="11" t="s">
        <v>15</v>
      </c>
      <c r="D114" s="1" t="s">
        <v>953</v>
      </c>
      <c r="E114" s="1" t="s">
        <v>1070</v>
      </c>
      <c r="F114" s="1" t="s">
        <v>1071</v>
      </c>
      <c r="G114" s="1" t="s">
        <v>1072</v>
      </c>
    </row>
    <row r="115" customFormat="false" ht="15" hidden="false" customHeight="true" outlineLevel="0" collapsed="false">
      <c r="D115" s="1" t="s">
        <v>955</v>
      </c>
      <c r="E115" s="1" t="s">
        <v>963</v>
      </c>
      <c r="F115" s="1" t="s">
        <v>963</v>
      </c>
    </row>
    <row r="116" customFormat="false" ht="15" hidden="false" customHeight="true" outlineLevel="0" collapsed="false">
      <c r="D116" s="1" t="s">
        <v>957</v>
      </c>
      <c r="E116" s="1" t="s">
        <v>1073</v>
      </c>
      <c r="F116" s="1" t="s">
        <v>1073</v>
      </c>
    </row>
    <row r="117" customFormat="false" ht="15" hidden="false" customHeight="true" outlineLevel="0" collapsed="false">
      <c r="A117" s="13"/>
      <c r="B117" s="13"/>
      <c r="C117" s="13"/>
      <c r="D117" s="13" t="s">
        <v>47</v>
      </c>
      <c r="E117" s="13" t="s">
        <v>1074</v>
      </c>
      <c r="F117" s="13"/>
      <c r="G117" s="13" t="s">
        <v>966</v>
      </c>
    </row>
    <row r="118" customFormat="false" ht="15" hidden="false" customHeight="true" outlineLevel="0" collapsed="false">
      <c r="A118" s="1" t="s">
        <v>564</v>
      </c>
      <c r="B118" s="1" t="s">
        <v>1075</v>
      </c>
      <c r="C118" s="11" t="s">
        <v>15</v>
      </c>
      <c r="D118" s="1" t="s">
        <v>953</v>
      </c>
      <c r="E118" s="1" t="s">
        <v>1076</v>
      </c>
      <c r="F118" s="1" t="s">
        <v>1076</v>
      </c>
    </row>
    <row r="119" customFormat="false" ht="15" hidden="false" customHeight="true" outlineLevel="0" collapsed="false">
      <c r="D119" s="1" t="s">
        <v>955</v>
      </c>
      <c r="E119" s="1" t="s">
        <v>956</v>
      </c>
      <c r="F119" s="1" t="s">
        <v>956</v>
      </c>
    </row>
    <row r="120" customFormat="false" ht="15" hidden="false" customHeight="true" outlineLevel="0" collapsed="false">
      <c r="D120" s="1" t="s">
        <v>957</v>
      </c>
      <c r="E120" s="1" t="s">
        <v>1077</v>
      </c>
      <c r="F120" s="1" t="s">
        <v>1077</v>
      </c>
    </row>
    <row r="121" customFormat="false" ht="15" hidden="false" customHeight="true" outlineLevel="0" collapsed="false">
      <c r="A121" s="12"/>
      <c r="B121" s="12"/>
      <c r="C121" s="12"/>
      <c r="D121" s="12" t="s">
        <v>47</v>
      </c>
      <c r="E121" s="12" t="s">
        <v>959</v>
      </c>
      <c r="F121" s="12"/>
      <c r="G121" s="12" t="s">
        <v>933</v>
      </c>
    </row>
    <row r="122" customFormat="false" ht="15" hidden="false" customHeight="true" outlineLevel="0" collapsed="false">
      <c r="A122" s="1" t="s">
        <v>579</v>
      </c>
      <c r="B122" s="1" t="s">
        <v>1078</v>
      </c>
      <c r="C122" s="11" t="s">
        <v>15</v>
      </c>
      <c r="D122" s="1" t="s">
        <v>953</v>
      </c>
      <c r="E122" s="1" t="s">
        <v>1079</v>
      </c>
      <c r="F122" s="1" t="s">
        <v>1080</v>
      </c>
      <c r="G122" s="1" t="s">
        <v>1081</v>
      </c>
    </row>
    <row r="123" customFormat="false" ht="15" hidden="false" customHeight="true" outlineLevel="0" collapsed="false">
      <c r="D123" s="1" t="s">
        <v>955</v>
      </c>
      <c r="E123" s="1" t="s">
        <v>963</v>
      </c>
      <c r="F123" s="1" t="s">
        <v>963</v>
      </c>
    </row>
    <row r="124" customFormat="false" ht="15" hidden="false" customHeight="true" outlineLevel="0" collapsed="false">
      <c r="D124" s="1" t="s">
        <v>957</v>
      </c>
      <c r="E124" s="1" t="s">
        <v>1082</v>
      </c>
      <c r="F124" s="1" t="s">
        <v>1082</v>
      </c>
    </row>
    <row r="125" customFormat="false" ht="15" hidden="false" customHeight="true" outlineLevel="0" collapsed="false">
      <c r="A125" s="13"/>
      <c r="B125" s="13"/>
      <c r="C125" s="13"/>
      <c r="D125" s="13" t="s">
        <v>47</v>
      </c>
      <c r="E125" s="13" t="s">
        <v>1083</v>
      </c>
      <c r="F125" s="13"/>
      <c r="G125" s="13" t="s">
        <v>966</v>
      </c>
    </row>
    <row r="126" customFormat="false" ht="15" hidden="false" customHeight="true" outlineLevel="0" collapsed="false">
      <c r="A126" s="1" t="s">
        <v>597</v>
      </c>
      <c r="B126" s="1" t="s">
        <v>1084</v>
      </c>
      <c r="C126" s="11" t="s">
        <v>15</v>
      </c>
      <c r="D126" s="1" t="s">
        <v>953</v>
      </c>
      <c r="E126" s="1" t="s">
        <v>1085</v>
      </c>
      <c r="F126" s="1" t="s">
        <v>1086</v>
      </c>
      <c r="G126" s="1" t="s">
        <v>1087</v>
      </c>
    </row>
    <row r="127" customFormat="false" ht="15" hidden="false" customHeight="true" outlineLevel="0" collapsed="false">
      <c r="D127" s="1" t="s">
        <v>955</v>
      </c>
      <c r="E127" s="1" t="s">
        <v>1088</v>
      </c>
      <c r="F127" s="1" t="s">
        <v>1088</v>
      </c>
    </row>
    <row r="128" customFormat="false" ht="15" hidden="false" customHeight="true" outlineLevel="0" collapsed="false">
      <c r="D128" s="1" t="s">
        <v>957</v>
      </c>
      <c r="E128" s="1" t="s">
        <v>1089</v>
      </c>
      <c r="F128" s="1" t="s">
        <v>1089</v>
      </c>
    </row>
    <row r="129" customFormat="false" ht="15" hidden="false" customHeight="true" outlineLevel="0" collapsed="false">
      <c r="A129" s="13"/>
      <c r="B129" s="13"/>
      <c r="C129" s="13"/>
      <c r="D129" s="13" t="s">
        <v>47</v>
      </c>
      <c r="E129" s="13" t="s">
        <v>1090</v>
      </c>
      <c r="F129" s="13"/>
      <c r="G129" s="13" t="s">
        <v>966</v>
      </c>
    </row>
    <row r="130" customFormat="false" ht="15" hidden="false" customHeight="true" outlineLevel="0" collapsed="false">
      <c r="A130" s="1" t="s">
        <v>620</v>
      </c>
      <c r="B130" s="1" t="s">
        <v>1091</v>
      </c>
      <c r="C130" s="11" t="s">
        <v>15</v>
      </c>
      <c r="D130" s="1" t="s">
        <v>953</v>
      </c>
      <c r="E130" s="1" t="s">
        <v>1092</v>
      </c>
      <c r="F130" s="1" t="s">
        <v>1093</v>
      </c>
      <c r="G130" s="1" t="s">
        <v>969</v>
      </c>
    </row>
    <row r="131" customFormat="false" ht="15" hidden="false" customHeight="true" outlineLevel="0" collapsed="false">
      <c r="D131" s="1" t="s">
        <v>955</v>
      </c>
      <c r="E131" s="1" t="s">
        <v>1000</v>
      </c>
      <c r="F131" s="1" t="s">
        <v>1000</v>
      </c>
    </row>
    <row r="132" customFormat="false" ht="15" hidden="false" customHeight="true" outlineLevel="0" collapsed="false">
      <c r="D132" s="1" t="s">
        <v>957</v>
      </c>
      <c r="E132" s="1" t="s">
        <v>1094</v>
      </c>
      <c r="F132" s="1" t="s">
        <v>1094</v>
      </c>
    </row>
    <row r="133" customFormat="false" ht="15" hidden="false" customHeight="true" outlineLevel="0" collapsed="false">
      <c r="A133" s="13"/>
      <c r="B133" s="13"/>
      <c r="C133" s="13"/>
      <c r="D133" s="13" t="s">
        <v>47</v>
      </c>
      <c r="E133" s="13" t="s">
        <v>1095</v>
      </c>
      <c r="F133" s="13"/>
      <c r="G133" s="13" t="s">
        <v>966</v>
      </c>
    </row>
    <row r="134" customFormat="false" ht="15" hidden="false" customHeight="true" outlineLevel="0" collapsed="false">
      <c r="A134" s="1" t="s">
        <v>639</v>
      </c>
      <c r="B134" s="1" t="s">
        <v>1096</v>
      </c>
      <c r="C134" s="11" t="s">
        <v>15</v>
      </c>
      <c r="D134" s="1" t="s">
        <v>953</v>
      </c>
      <c r="E134" s="1" t="s">
        <v>1097</v>
      </c>
      <c r="F134" s="1" t="s">
        <v>1098</v>
      </c>
      <c r="G134" s="1" t="s">
        <v>1099</v>
      </c>
    </row>
    <row r="135" customFormat="false" ht="15" hidden="false" customHeight="true" outlineLevel="0" collapsed="false">
      <c r="D135" s="1" t="s">
        <v>955</v>
      </c>
      <c r="E135" s="1" t="s">
        <v>963</v>
      </c>
      <c r="F135" s="1" t="s">
        <v>963</v>
      </c>
    </row>
    <row r="136" customFormat="false" ht="15" hidden="false" customHeight="true" outlineLevel="0" collapsed="false">
      <c r="D136" s="1" t="s">
        <v>957</v>
      </c>
      <c r="E136" s="1" t="s">
        <v>1100</v>
      </c>
      <c r="F136" s="1" t="s">
        <v>1100</v>
      </c>
    </row>
    <row r="137" customFormat="false" ht="15" hidden="false" customHeight="true" outlineLevel="0" collapsed="false">
      <c r="A137" s="13"/>
      <c r="B137" s="13"/>
      <c r="C137" s="13"/>
      <c r="D137" s="13" t="s">
        <v>47</v>
      </c>
      <c r="E137" s="13" t="s">
        <v>1101</v>
      </c>
      <c r="F137" s="13"/>
      <c r="G137" s="13" t="s">
        <v>966</v>
      </c>
    </row>
    <row r="138" customFormat="false" ht="15" hidden="false" customHeight="true" outlineLevel="0" collapsed="false">
      <c r="A138" s="1" t="s">
        <v>658</v>
      </c>
      <c r="B138" s="1" t="s">
        <v>1102</v>
      </c>
      <c r="C138" s="11" t="s">
        <v>15</v>
      </c>
      <c r="D138" s="1" t="s">
        <v>953</v>
      </c>
      <c r="E138" s="1" t="s">
        <v>1103</v>
      </c>
      <c r="F138" s="1" t="s">
        <v>1104</v>
      </c>
      <c r="G138" s="1" t="s">
        <v>1105</v>
      </c>
    </row>
    <row r="139" customFormat="false" ht="15" hidden="false" customHeight="true" outlineLevel="0" collapsed="false">
      <c r="D139" s="1" t="s">
        <v>955</v>
      </c>
      <c r="E139" s="1" t="s">
        <v>956</v>
      </c>
      <c r="F139" s="1" t="s">
        <v>956</v>
      </c>
    </row>
    <row r="140" customFormat="false" ht="15" hidden="false" customHeight="true" outlineLevel="0" collapsed="false">
      <c r="D140" s="1" t="s">
        <v>957</v>
      </c>
      <c r="E140" s="1" t="s">
        <v>1106</v>
      </c>
      <c r="F140" s="1" t="s">
        <v>1106</v>
      </c>
    </row>
    <row r="141" customFormat="false" ht="15" hidden="false" customHeight="true" outlineLevel="0" collapsed="false">
      <c r="A141" s="13"/>
      <c r="B141" s="13"/>
      <c r="C141" s="13"/>
      <c r="D141" s="13" t="s">
        <v>47</v>
      </c>
      <c r="E141" s="13" t="s">
        <v>1107</v>
      </c>
      <c r="F141" s="13"/>
      <c r="G141" s="13" t="s">
        <v>966</v>
      </c>
    </row>
    <row r="142" customFormat="false" ht="15" hidden="false" customHeight="true" outlineLevel="0" collapsed="false">
      <c r="A142" s="1" t="s">
        <v>678</v>
      </c>
      <c r="B142" s="1" t="s">
        <v>1108</v>
      </c>
      <c r="C142" s="11" t="s">
        <v>15</v>
      </c>
      <c r="D142" s="1" t="s">
        <v>953</v>
      </c>
      <c r="E142" s="1" t="s">
        <v>1109</v>
      </c>
      <c r="F142" s="1" t="s">
        <v>1109</v>
      </c>
    </row>
    <row r="143" customFormat="false" ht="15" hidden="false" customHeight="true" outlineLevel="0" collapsed="false">
      <c r="D143" s="1" t="s">
        <v>955</v>
      </c>
      <c r="E143" s="1" t="s">
        <v>956</v>
      </c>
      <c r="F143" s="1" t="s">
        <v>956</v>
      </c>
    </row>
    <row r="144" customFormat="false" ht="15" hidden="false" customHeight="true" outlineLevel="0" collapsed="false">
      <c r="D144" s="1" t="s">
        <v>957</v>
      </c>
      <c r="E144" s="1" t="s">
        <v>1110</v>
      </c>
      <c r="F144" s="1" t="s">
        <v>1110</v>
      </c>
    </row>
    <row r="145" customFormat="false" ht="15" hidden="false" customHeight="true" outlineLevel="0" collapsed="false">
      <c r="A145" s="12"/>
      <c r="B145" s="12"/>
      <c r="C145" s="12"/>
      <c r="D145" s="12" t="s">
        <v>47</v>
      </c>
      <c r="E145" s="12" t="s">
        <v>959</v>
      </c>
      <c r="F145" s="12"/>
      <c r="G145" s="12" t="s">
        <v>933</v>
      </c>
    </row>
    <row r="146" customFormat="false" ht="15" hidden="false" customHeight="true" outlineLevel="0" collapsed="false">
      <c r="A146" s="1" t="s">
        <v>698</v>
      </c>
      <c r="B146" s="1" t="s">
        <v>1111</v>
      </c>
      <c r="C146" s="11" t="s">
        <v>15</v>
      </c>
      <c r="D146" s="1" t="s">
        <v>953</v>
      </c>
      <c r="E146" s="1" t="s">
        <v>1079</v>
      </c>
      <c r="F146" s="1" t="s">
        <v>1112</v>
      </c>
      <c r="G146" s="1" t="s">
        <v>1030</v>
      </c>
    </row>
    <row r="147" customFormat="false" ht="15" hidden="false" customHeight="true" outlineLevel="0" collapsed="false">
      <c r="D147" s="1" t="s">
        <v>955</v>
      </c>
      <c r="E147" s="1" t="s">
        <v>963</v>
      </c>
      <c r="F147" s="1" t="s">
        <v>963</v>
      </c>
    </row>
    <row r="148" customFormat="false" ht="15" hidden="false" customHeight="true" outlineLevel="0" collapsed="false">
      <c r="D148" s="1" t="s">
        <v>957</v>
      </c>
      <c r="E148" s="1" t="s">
        <v>1113</v>
      </c>
      <c r="F148" s="1" t="s">
        <v>1113</v>
      </c>
    </row>
    <row r="149" customFormat="false" ht="15" hidden="false" customHeight="true" outlineLevel="0" collapsed="false">
      <c r="A149" s="13"/>
      <c r="B149" s="13"/>
      <c r="C149" s="13"/>
      <c r="D149" s="13" t="s">
        <v>47</v>
      </c>
      <c r="E149" s="13" t="s">
        <v>1114</v>
      </c>
      <c r="F149" s="13"/>
      <c r="G149" s="13" t="s">
        <v>966</v>
      </c>
    </row>
    <row r="150" customFormat="false" ht="15" hidden="false" customHeight="true" outlineLevel="0" collapsed="false">
      <c r="A150" s="1" t="s">
        <v>717</v>
      </c>
      <c r="B150" s="1" t="s">
        <v>1115</v>
      </c>
      <c r="C150" s="11" t="s">
        <v>15</v>
      </c>
      <c r="D150" s="1" t="s">
        <v>953</v>
      </c>
      <c r="E150" s="1" t="s">
        <v>1116</v>
      </c>
      <c r="F150" s="1" t="s">
        <v>1117</v>
      </c>
      <c r="G150" s="1" t="s">
        <v>962</v>
      </c>
    </row>
    <row r="151" customFormat="false" ht="15" hidden="false" customHeight="true" outlineLevel="0" collapsed="false">
      <c r="D151" s="1" t="s">
        <v>955</v>
      </c>
      <c r="E151" s="1" t="s">
        <v>963</v>
      </c>
      <c r="F151" s="1" t="s">
        <v>963</v>
      </c>
    </row>
    <row r="152" customFormat="false" ht="15" hidden="false" customHeight="true" outlineLevel="0" collapsed="false">
      <c r="D152" s="1" t="s">
        <v>957</v>
      </c>
      <c r="E152" s="1" t="s">
        <v>1118</v>
      </c>
      <c r="F152" s="1" t="s">
        <v>1118</v>
      </c>
    </row>
    <row r="153" customFormat="false" ht="15" hidden="false" customHeight="true" outlineLevel="0" collapsed="false">
      <c r="A153" s="13"/>
      <c r="B153" s="13"/>
      <c r="C153" s="13"/>
      <c r="D153" s="13" t="s">
        <v>47</v>
      </c>
      <c r="E153" s="13" t="s">
        <v>1119</v>
      </c>
      <c r="F153" s="13"/>
      <c r="G153" s="13" t="s">
        <v>966</v>
      </c>
    </row>
    <row r="154" customFormat="false" ht="15" hidden="false" customHeight="true" outlineLevel="0" collapsed="false">
      <c r="A154" s="1" t="s">
        <v>737</v>
      </c>
      <c r="B154" s="1" t="s">
        <v>1120</v>
      </c>
      <c r="C154" s="11" t="s">
        <v>15</v>
      </c>
      <c r="D154" s="1" t="s">
        <v>953</v>
      </c>
      <c r="E154" s="1" t="s">
        <v>1121</v>
      </c>
      <c r="F154" s="1" t="s">
        <v>1122</v>
      </c>
      <c r="G154" s="1" t="s">
        <v>969</v>
      </c>
    </row>
    <row r="155" customFormat="false" ht="15" hidden="false" customHeight="true" outlineLevel="0" collapsed="false">
      <c r="D155" s="1" t="s">
        <v>955</v>
      </c>
      <c r="E155" s="1" t="s">
        <v>1123</v>
      </c>
      <c r="F155" s="1" t="s">
        <v>1123</v>
      </c>
    </row>
    <row r="156" customFormat="false" ht="15" hidden="false" customHeight="true" outlineLevel="0" collapsed="false">
      <c r="D156" s="1" t="s">
        <v>957</v>
      </c>
      <c r="E156" s="1" t="s">
        <v>1124</v>
      </c>
      <c r="F156" s="1" t="s">
        <v>1124</v>
      </c>
    </row>
    <row r="157" customFormat="false" ht="15" hidden="false" customHeight="true" outlineLevel="0" collapsed="false">
      <c r="A157" s="13"/>
      <c r="B157" s="13"/>
      <c r="C157" s="13"/>
      <c r="D157" s="13" t="s">
        <v>47</v>
      </c>
      <c r="E157" s="13" t="s">
        <v>1125</v>
      </c>
      <c r="F157" s="13"/>
      <c r="G157" s="13" t="s">
        <v>966</v>
      </c>
    </row>
    <row r="158" customFormat="false" ht="15" hidden="false" customHeight="true" outlineLevel="0" collapsed="false">
      <c r="A158" s="1" t="s">
        <v>762</v>
      </c>
      <c r="B158" s="1" t="s">
        <v>1126</v>
      </c>
      <c r="C158" s="11" t="s">
        <v>15</v>
      </c>
      <c r="D158" s="1" t="s">
        <v>953</v>
      </c>
      <c r="E158" s="1" t="s">
        <v>1127</v>
      </c>
      <c r="F158" s="1" t="s">
        <v>1128</v>
      </c>
      <c r="G158" s="1" t="s">
        <v>1030</v>
      </c>
    </row>
    <row r="159" customFormat="false" ht="15" hidden="false" customHeight="true" outlineLevel="0" collapsed="false">
      <c r="D159" s="1" t="s">
        <v>955</v>
      </c>
      <c r="E159" s="1" t="s">
        <v>963</v>
      </c>
      <c r="F159" s="1" t="s">
        <v>963</v>
      </c>
    </row>
    <row r="160" customFormat="false" ht="15" hidden="false" customHeight="true" outlineLevel="0" collapsed="false">
      <c r="D160" s="1" t="s">
        <v>957</v>
      </c>
      <c r="E160" s="1" t="s">
        <v>1129</v>
      </c>
      <c r="F160" s="1" t="s">
        <v>1129</v>
      </c>
    </row>
    <row r="161" customFormat="false" ht="15" hidden="false" customHeight="true" outlineLevel="0" collapsed="false">
      <c r="A161" s="13"/>
      <c r="B161" s="13"/>
      <c r="C161" s="13"/>
      <c r="D161" s="13" t="s">
        <v>47</v>
      </c>
      <c r="E161" s="13" t="s">
        <v>1130</v>
      </c>
      <c r="F161" s="13"/>
      <c r="G161" s="13" t="s">
        <v>966</v>
      </c>
    </row>
    <row r="162" customFormat="false" ht="15" hidden="false" customHeight="true" outlineLevel="0" collapsed="false">
      <c r="A162" s="1" t="s">
        <v>782</v>
      </c>
      <c r="B162" s="1" t="s">
        <v>1131</v>
      </c>
      <c r="C162" s="11" t="s">
        <v>15</v>
      </c>
      <c r="D162" s="1" t="s">
        <v>953</v>
      </c>
      <c r="E162" s="1" t="s">
        <v>1132</v>
      </c>
      <c r="F162" s="1" t="s">
        <v>1133</v>
      </c>
      <c r="G162" s="1" t="s">
        <v>1134</v>
      </c>
    </row>
    <row r="163" customFormat="false" ht="15" hidden="false" customHeight="true" outlineLevel="0" collapsed="false">
      <c r="D163" s="1" t="s">
        <v>955</v>
      </c>
      <c r="E163" s="1" t="s">
        <v>991</v>
      </c>
      <c r="F163" s="1" t="s">
        <v>991</v>
      </c>
    </row>
    <row r="164" customFormat="false" ht="15" hidden="false" customHeight="true" outlineLevel="0" collapsed="false">
      <c r="D164" s="1" t="s">
        <v>957</v>
      </c>
      <c r="E164" s="1" t="s">
        <v>1135</v>
      </c>
      <c r="F164" s="1" t="s">
        <v>1135</v>
      </c>
    </row>
    <row r="165" customFormat="false" ht="15" hidden="false" customHeight="true" outlineLevel="0" collapsed="false">
      <c r="A165" s="13"/>
      <c r="B165" s="13"/>
      <c r="C165" s="13"/>
      <c r="D165" s="13" t="s">
        <v>47</v>
      </c>
      <c r="E165" s="13" t="s">
        <v>1136</v>
      </c>
      <c r="F165" s="13"/>
      <c r="G165" s="13" t="s">
        <v>966</v>
      </c>
    </row>
    <row r="166" customFormat="false" ht="15" hidden="false" customHeight="true" outlineLevel="0" collapsed="false">
      <c r="A166" s="1" t="s">
        <v>807</v>
      </c>
      <c r="B166" s="1" t="s">
        <v>1137</v>
      </c>
      <c r="C166" s="11" t="s">
        <v>15</v>
      </c>
      <c r="D166" s="1" t="s">
        <v>953</v>
      </c>
      <c r="E166" s="1" t="s">
        <v>1138</v>
      </c>
      <c r="F166" s="1" t="s">
        <v>1139</v>
      </c>
      <c r="G166" s="1" t="s">
        <v>969</v>
      </c>
    </row>
    <row r="167" customFormat="false" ht="15" hidden="false" customHeight="true" outlineLevel="0" collapsed="false">
      <c r="D167" s="1" t="s">
        <v>955</v>
      </c>
      <c r="E167" s="1" t="s">
        <v>956</v>
      </c>
      <c r="F167" s="1" t="s">
        <v>956</v>
      </c>
    </row>
    <row r="168" customFormat="false" ht="15" hidden="false" customHeight="true" outlineLevel="0" collapsed="false">
      <c r="D168" s="1" t="s">
        <v>957</v>
      </c>
      <c r="E168" s="1" t="s">
        <v>1140</v>
      </c>
      <c r="F168" s="1" t="s">
        <v>1140</v>
      </c>
    </row>
    <row r="169" customFormat="false" ht="15" hidden="false" customHeight="true" outlineLevel="0" collapsed="false">
      <c r="A169" s="13"/>
      <c r="B169" s="13"/>
      <c r="C169" s="13"/>
      <c r="D169" s="13" t="s">
        <v>47</v>
      </c>
      <c r="E169" s="13" t="s">
        <v>1141</v>
      </c>
      <c r="F169" s="13"/>
      <c r="G169" s="13" t="s">
        <v>966</v>
      </c>
    </row>
    <row r="170" customFormat="false" ht="15" hidden="false" customHeight="true" outlineLevel="0" collapsed="false">
      <c r="A170" s="1" t="s">
        <v>826</v>
      </c>
      <c r="B170" s="1" t="s">
        <v>1142</v>
      </c>
      <c r="C170" s="11" t="s">
        <v>15</v>
      </c>
      <c r="D170" s="1" t="s">
        <v>953</v>
      </c>
      <c r="E170" s="1" t="s">
        <v>1143</v>
      </c>
      <c r="F170" s="1" t="s">
        <v>1144</v>
      </c>
      <c r="G170" s="1" t="s">
        <v>1145</v>
      </c>
    </row>
    <row r="171" customFormat="false" ht="15" hidden="false" customHeight="true" outlineLevel="0" collapsed="false">
      <c r="D171" s="1" t="s">
        <v>955</v>
      </c>
      <c r="E171" s="1" t="s">
        <v>956</v>
      </c>
      <c r="F171" s="1" t="s">
        <v>956</v>
      </c>
    </row>
    <row r="172" customFormat="false" ht="15" hidden="false" customHeight="true" outlineLevel="0" collapsed="false">
      <c r="D172" s="1" t="s">
        <v>957</v>
      </c>
      <c r="E172" s="1" t="s">
        <v>1146</v>
      </c>
      <c r="F172" s="1" t="s">
        <v>1146</v>
      </c>
    </row>
    <row r="173" customFormat="false" ht="15" hidden="false" customHeight="true" outlineLevel="0" collapsed="false">
      <c r="A173" s="13"/>
      <c r="B173" s="13"/>
      <c r="C173" s="13"/>
      <c r="D173" s="13" t="s">
        <v>47</v>
      </c>
      <c r="E173" s="13" t="s">
        <v>1147</v>
      </c>
      <c r="F173" s="13"/>
      <c r="G173" s="13" t="s">
        <v>966</v>
      </c>
    </row>
    <row r="174" customFormat="false" ht="15" hidden="false" customHeight="true" outlineLevel="0" collapsed="false">
      <c r="A174" s="1" t="s">
        <v>846</v>
      </c>
      <c r="B174" s="1" t="s">
        <v>1148</v>
      </c>
      <c r="C174" s="14" t="s">
        <v>28</v>
      </c>
      <c r="D174" s="1" t="s">
        <v>953</v>
      </c>
      <c r="E174" s="1" t="s">
        <v>1009</v>
      </c>
      <c r="F174" s="1" t="s">
        <v>1149</v>
      </c>
      <c r="G174" s="1" t="s">
        <v>1150</v>
      </c>
    </row>
    <row r="175" customFormat="false" ht="15" hidden="false" customHeight="true" outlineLevel="0" collapsed="false">
      <c r="D175" s="1" t="s">
        <v>955</v>
      </c>
      <c r="E175" s="1" t="s">
        <v>1151</v>
      </c>
      <c r="F175" s="1" t="s">
        <v>1152</v>
      </c>
      <c r="G175" s="1" t="s">
        <v>1020</v>
      </c>
    </row>
    <row r="176" customFormat="false" ht="15" hidden="false" customHeight="true" outlineLevel="0" collapsed="false">
      <c r="D176" s="1" t="s">
        <v>957</v>
      </c>
      <c r="E176" s="1" t="s">
        <v>37</v>
      </c>
      <c r="F176" s="1" t="s">
        <v>1153</v>
      </c>
    </row>
    <row r="177" customFormat="false" ht="15" hidden="false" customHeight="true" outlineLevel="0" collapsed="false">
      <c r="A177" s="13"/>
      <c r="B177" s="13"/>
      <c r="C177" s="13"/>
      <c r="D177" s="13" t="s">
        <v>47</v>
      </c>
      <c r="E177" s="13" t="s">
        <v>1154</v>
      </c>
      <c r="F177" s="13"/>
      <c r="G177" s="13" t="s">
        <v>966</v>
      </c>
    </row>
    <row r="178" customFormat="false" ht="15" hidden="false" customHeight="true" outlineLevel="0" collapsed="false">
      <c r="A178" s="1" t="s">
        <v>863</v>
      </c>
      <c r="B178" s="1" t="s">
        <v>1155</v>
      </c>
      <c r="C178" s="11" t="s">
        <v>15</v>
      </c>
      <c r="D178" s="1" t="s">
        <v>953</v>
      </c>
      <c r="E178" s="1" t="s">
        <v>1156</v>
      </c>
      <c r="F178" s="1" t="s">
        <v>1157</v>
      </c>
      <c r="G178" s="1" t="s">
        <v>962</v>
      </c>
    </row>
    <row r="179" customFormat="false" ht="15" hidden="false" customHeight="true" outlineLevel="0" collapsed="false">
      <c r="D179" s="1" t="s">
        <v>955</v>
      </c>
      <c r="E179" s="1" t="s">
        <v>963</v>
      </c>
      <c r="F179" s="1" t="s">
        <v>963</v>
      </c>
    </row>
    <row r="180" customFormat="false" ht="15" hidden="false" customHeight="true" outlineLevel="0" collapsed="false">
      <c r="D180" s="1" t="s">
        <v>957</v>
      </c>
      <c r="E180" s="1" t="s">
        <v>1158</v>
      </c>
      <c r="F180" s="1" t="s">
        <v>1158</v>
      </c>
    </row>
    <row r="181" customFormat="false" ht="15" hidden="false" customHeight="true" outlineLevel="0" collapsed="false">
      <c r="A181" s="13"/>
      <c r="B181" s="13"/>
      <c r="C181" s="13"/>
      <c r="D181" s="13" t="s">
        <v>47</v>
      </c>
      <c r="E181" s="13" t="s">
        <v>1159</v>
      </c>
      <c r="F181" s="13"/>
      <c r="G181" s="13" t="s">
        <v>966</v>
      </c>
    </row>
    <row r="182" customFormat="false" ht="15" hidden="false" customHeight="true" outlineLevel="0" collapsed="false">
      <c r="A182" s="1" t="s">
        <v>882</v>
      </c>
      <c r="B182" s="1" t="s">
        <v>1160</v>
      </c>
      <c r="C182" s="11" t="s">
        <v>15</v>
      </c>
      <c r="D182" s="1" t="s">
        <v>953</v>
      </c>
      <c r="E182" s="1" t="s">
        <v>1079</v>
      </c>
      <c r="F182" s="1" t="s">
        <v>1113</v>
      </c>
      <c r="G182" s="1" t="s">
        <v>962</v>
      </c>
    </row>
    <row r="183" customFormat="false" ht="15" hidden="false" customHeight="true" outlineLevel="0" collapsed="false">
      <c r="D183" s="1" t="s">
        <v>955</v>
      </c>
      <c r="E183" s="1" t="s">
        <v>963</v>
      </c>
      <c r="F183" s="1" t="s">
        <v>963</v>
      </c>
    </row>
    <row r="184" customFormat="false" ht="15" hidden="false" customHeight="true" outlineLevel="0" collapsed="false">
      <c r="D184" s="1" t="s">
        <v>957</v>
      </c>
      <c r="E184" s="1" t="s">
        <v>1161</v>
      </c>
      <c r="F184" s="1" t="s">
        <v>1161</v>
      </c>
    </row>
    <row r="185" customFormat="false" ht="15" hidden="false" customHeight="true" outlineLevel="0" collapsed="false">
      <c r="A185" s="13"/>
      <c r="B185" s="13"/>
      <c r="C185" s="13"/>
      <c r="D185" s="13" t="s">
        <v>47</v>
      </c>
      <c r="E185" s="13" t="s">
        <v>1162</v>
      </c>
      <c r="F185" s="13"/>
      <c r="G185" s="13" t="s">
        <v>966</v>
      </c>
    </row>
    <row r="186" customFormat="false" ht="15" hidden="false" customHeight="true" outlineLevel="0" collapsed="false">
      <c r="A186" s="1" t="s">
        <v>901</v>
      </c>
      <c r="B186" s="1" t="s">
        <v>1163</v>
      </c>
      <c r="C186" s="11" t="s">
        <v>15</v>
      </c>
      <c r="D186" s="1" t="s">
        <v>953</v>
      </c>
      <c r="E186" s="1" t="s">
        <v>1164</v>
      </c>
      <c r="F186" s="1" t="s">
        <v>1164</v>
      </c>
    </row>
    <row r="187" customFormat="false" ht="15" hidden="false" customHeight="true" outlineLevel="0" collapsed="false">
      <c r="D187" s="1" t="s">
        <v>955</v>
      </c>
      <c r="E187" s="1" t="s">
        <v>956</v>
      </c>
      <c r="F187" s="1" t="s">
        <v>956</v>
      </c>
    </row>
    <row r="188" customFormat="false" ht="15" hidden="false" customHeight="true" outlineLevel="0" collapsed="false">
      <c r="D188" s="1" t="s">
        <v>957</v>
      </c>
      <c r="E188" s="1" t="s">
        <v>1165</v>
      </c>
      <c r="F188" s="1" t="s">
        <v>1165</v>
      </c>
    </row>
    <row r="189" customFormat="false" ht="15" hidden="false" customHeight="true" outlineLevel="0" collapsed="false">
      <c r="A189" s="12"/>
      <c r="B189" s="12"/>
      <c r="C189" s="12"/>
      <c r="D189" s="12" t="s">
        <v>47</v>
      </c>
      <c r="E189" s="12" t="s">
        <v>959</v>
      </c>
      <c r="F189" s="12"/>
      <c r="G189" s="12" t="s">
        <v>933</v>
      </c>
    </row>
    <row r="190" customFormat="false" ht="15" hidden="false" customHeight="true" outlineLevel="0" collapsed="false">
      <c r="A190" s="1" t="s">
        <v>917</v>
      </c>
      <c r="B190" s="1" t="s">
        <v>1166</v>
      </c>
      <c r="C190" s="11" t="s">
        <v>15</v>
      </c>
      <c r="D190" s="1" t="s">
        <v>953</v>
      </c>
      <c r="E190" s="1" t="s">
        <v>1009</v>
      </c>
      <c r="F190" s="1" t="s">
        <v>1009</v>
      </c>
    </row>
    <row r="191" customFormat="false" ht="15" hidden="false" customHeight="true" outlineLevel="0" collapsed="false">
      <c r="D191" s="1" t="s">
        <v>955</v>
      </c>
      <c r="E191" s="1" t="s">
        <v>37</v>
      </c>
      <c r="F191" s="1" t="s">
        <v>1009</v>
      </c>
    </row>
    <row r="192" customFormat="false" ht="15" hidden="false" customHeight="true" outlineLevel="0" collapsed="false">
      <c r="D192" s="1" t="s">
        <v>957</v>
      </c>
      <c r="E192" s="1" t="s">
        <v>1009</v>
      </c>
      <c r="F192" s="1" t="s">
        <v>1009</v>
      </c>
    </row>
    <row r="193" customFormat="false" ht="15" hidden="false" customHeight="true" outlineLevel="0" collapsed="false">
      <c r="A193" s="12"/>
      <c r="B193" s="12"/>
      <c r="C193" s="12"/>
      <c r="D193" s="12" t="s">
        <v>47</v>
      </c>
      <c r="E193" s="12" t="s">
        <v>959</v>
      </c>
      <c r="F193" s="12"/>
      <c r="G193" s="12" t="s">
        <v>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2026-09-29T20:33:58Z</dcterms:created>
  <dc:creator>openpyxl</dc:creator>
  <dc:description/>
  <dc:language>en-US</dc:language>
  <cp:lastModifiedBy/>
  <dcterms:modified xsi:type="dcterms:W3CDTF">2026-09-29T21:30:10Z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